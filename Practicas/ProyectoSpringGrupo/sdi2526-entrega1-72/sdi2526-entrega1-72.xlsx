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showInkAnnotation="0"/>
  <mc:AlternateContent xmlns:mc="http://schemas.openxmlformats.org/markup-compatibility/2006">
    <mc:Choice Requires="x15">
      <x15ac:absPath xmlns:x15ac="http://schemas.microsoft.com/office/spreadsheetml/2010/11/ac" url="https://unioviedo-my.sharepoint.com/personal/delacal_uniovi_es/Documents/DOCENCIA/SDI/2526/_practicas_propuestas/_ordinaria/entrega1/"/>
    </mc:Choice>
  </mc:AlternateContent>
  <xr:revisionPtr revIDLastSave="1567" documentId="8_{C85CB70A-9B7B-EA48-B0A5-B50919DF1CCC}" xr6:coauthVersionLast="47" xr6:coauthVersionMax="47" xr10:uidLastSave="{45938447-0496-4DD5-97D3-BEB1263DB601}"/>
  <bookViews>
    <workbookView xWindow="20" yWindow="540" windowWidth="25600" windowHeight="15500" tabRatio="500" xr2:uid="{00000000-000D-0000-FFFF-FFFF00000000}"/>
  </bookViews>
  <sheets>
    <sheet name="Pruebas" sheetId="1" r:id="rId1"/>
    <sheet name="Instruc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7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4" i="1"/>
  <c r="C35" i="1"/>
  <c r="C36" i="1"/>
  <c r="F30" i="1"/>
  <c r="E30" i="1"/>
  <c r="D38" i="1"/>
  <c r="E36" i="1"/>
  <c r="F36" i="1"/>
  <c r="G36" i="1"/>
  <c r="H36" i="1" l="1"/>
  <c r="H42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44" i="1" l="1"/>
  <c r="H45" i="1"/>
  <c r="H43" i="1"/>
  <c r="H41" i="1"/>
  <c r="H80" i="1" l="1"/>
  <c r="E29" i="1"/>
  <c r="F29" i="1"/>
  <c r="G29" i="1"/>
  <c r="E28" i="1"/>
  <c r="F28" i="1"/>
  <c r="G28" i="1"/>
  <c r="H28" i="1" l="1"/>
  <c r="H29" i="1"/>
  <c r="G35" i="1"/>
  <c r="G34" i="1"/>
  <c r="G31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F35" i="1"/>
  <c r="F34" i="1"/>
  <c r="F31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E35" i="1"/>
  <c r="E34" i="1"/>
  <c r="E31" i="1"/>
  <c r="H31" i="1" s="1"/>
  <c r="E27" i="1"/>
  <c r="E26" i="1"/>
  <c r="E25" i="1"/>
  <c r="E24" i="1"/>
  <c r="E23" i="1"/>
  <c r="E22" i="1"/>
  <c r="E21" i="1"/>
  <c r="E20" i="1"/>
  <c r="E15" i="1"/>
  <c r="E14" i="1"/>
  <c r="E13" i="1"/>
  <c r="H13" i="1" s="1"/>
  <c r="H30" i="1"/>
  <c r="G30" i="1"/>
  <c r="H35" i="1" l="1"/>
  <c r="H34" i="1"/>
  <c r="H15" i="1"/>
  <c r="H16" i="1"/>
  <c r="H27" i="1"/>
  <c r="B6" i="1" l="1"/>
  <c r="H19" i="1" l="1"/>
  <c r="H20" i="1"/>
  <c r="H25" i="1"/>
  <c r="H18" i="1"/>
  <c r="H37" i="1"/>
  <c r="H22" i="1"/>
  <c r="H21" i="1"/>
  <c r="H14" i="1"/>
  <c r="H26" i="1"/>
  <c r="H24" i="1"/>
  <c r="H23" i="1"/>
  <c r="H17" i="1"/>
  <c r="H33" i="1" l="1"/>
  <c r="H38" i="1" s="1"/>
  <c r="B4" i="1" s="1"/>
  <c r="B8" i="1" s="1"/>
</calcChain>
</file>

<file path=xl/sharedStrings.xml><?xml version="1.0" encoding="utf-8"?>
<sst xmlns="http://schemas.openxmlformats.org/spreadsheetml/2006/main" count="307" uniqueCount="184">
  <si>
    <t>Puntuación (Para rellenar por el profesor)</t>
  </si>
  <si>
    <t>Puntos de Requisitos  (TOTAL REQ)</t>
  </si>
  <si>
    <t>Puntos de Penalización (TOTAL PEN)</t>
  </si>
  <si>
    <t>NOTA DE LA PRÁCTICA sobre 11  (TOTAL REQ -  TOTAL PEN)</t>
  </si>
  <si>
    <t>REQUISITOS (Para rellenar por el profesor)</t>
  </si>
  <si>
    <t>Requisito</t>
  </si>
  <si>
    <t xml:space="preserve">Nº Casos </t>
  </si>
  <si>
    <t>Puntos</t>
  </si>
  <si>
    <t>NºOK</t>
  </si>
  <si>
    <t>Nº FAIL</t>
  </si>
  <si>
    <t>Nº SIN</t>
  </si>
  <si>
    <t>SubTotal = MIN(Puntos, (Nº OK/Nº Casos)*Puntos)</t>
  </si>
  <si>
    <t>Descripción del requisito</t>
  </si>
  <si>
    <t xml:space="preserve">Registro de usuario estándar </t>
  </si>
  <si>
    <t xml:space="preserve">Inicio de sesión (Admin/Estándar) </t>
  </si>
  <si>
    <t xml:space="preserve">Salir de sesión </t>
  </si>
  <si>
    <t xml:space="preserve">Registrar nuevos espacios </t>
  </si>
  <si>
    <t xml:space="preserve">Editar espacios existentes </t>
  </si>
  <si>
    <t xml:space="preserve">Activar/Desactivar espacios (Baja lógica) </t>
  </si>
  <si>
    <t xml:space="preserve">Crear bloqueos de mantenimiento </t>
  </si>
  <si>
    <t xml:space="preserve">Cancelar bloqueos de mantenimiento </t>
  </si>
  <si>
    <t xml:space="preserve">Consultar listado global de reservas (Admin) </t>
  </si>
  <si>
    <t xml:space="preserve">Listado de espacios disponibles (Estándar) </t>
  </si>
  <si>
    <t xml:space="preserve">Detalle de un espacio </t>
  </si>
  <si>
    <t xml:space="preserve">Consultar disponibilidad (Estándar) </t>
  </si>
  <si>
    <t xml:space="preserve">Registrar nueva reserva </t>
  </si>
  <si>
    <t xml:space="preserve">Evitar solapes de reservas/bloqueos </t>
  </si>
  <si>
    <t xml:space="preserve">Consultar reservas propias </t>
  </si>
  <si>
    <t xml:space="preserve">Cancelar reserva propia </t>
  </si>
  <si>
    <t xml:space="preserve">Modificar contraseña </t>
  </si>
  <si>
    <t xml:space="preserve">Internacionalización (i18n) </t>
  </si>
  <si>
    <t xml:space="preserve">Seguridad y Vulnerabilidades </t>
  </si>
  <si>
    <t>Informe (Rellenar por el profesor)</t>
  </si>
  <si>
    <t>&lt;-  OBLIGATORIOS REQ</t>
  </si>
  <si>
    <r>
      <t>OPCIONAL:</t>
    </r>
    <r>
      <rPr>
        <sz val="12"/>
        <color rgb="FF1F1F1F"/>
        <rFont val="Arial"/>
        <family val="2"/>
      </rPr>
      <t xml:space="preserve"> Reservas recurrentes </t>
    </r>
  </si>
  <si>
    <r>
      <t>OPCIONAL:</t>
    </r>
    <r>
      <rPr>
        <sz val="12"/>
        <color rgb="FF1F1F1F"/>
        <rFont val="Arial"/>
        <family val="2"/>
      </rPr>
      <t xml:space="preserve"> Límite de reservas activas </t>
    </r>
  </si>
  <si>
    <r>
      <t>OPCIONAL:</t>
    </r>
    <r>
      <rPr>
        <sz val="12"/>
        <color rgb="FF1F1F1F"/>
        <rFont val="Arial"/>
        <family val="2"/>
      </rPr>
      <t xml:space="preserve"> Exportación CSV (Admin) </t>
    </r>
  </si>
  <si>
    <t>&lt;-  OPCIONALES REQ</t>
  </si>
  <si>
    <t>Total Puntos</t>
  </si>
  <si>
    <t>&lt;-  TOTAL REQ  (Puntuación correspondiente a la realización los casos que se hayan incluido como OK suponiendo que la prueba esté perfecta así como el codigo)</t>
  </si>
  <si>
    <t>PENALIZACIONES (Para rellenar por el profesor)</t>
  </si>
  <si>
    <t>A RELLENAR POR EL PROFESOR (NUNCA=0, SIEMPRE=10)</t>
  </si>
  <si>
    <t>N</t>
  </si>
  <si>
    <t>Descripción (ejemplos)</t>
  </si>
  <si>
    <t>Subtotal</t>
  </si>
  <si>
    <t>Pen. Máxima</t>
  </si>
  <si>
    <t>Valoración Profesor</t>
  </si>
  <si>
    <t>Claridad y calidad de la implementación del código Java y cumplimiento de Java Code Conventions.</t>
  </si>
  <si>
    <t>Calidad de la implementación de las vistas y usando todas las funcionalidades vistas en clase: fragmentos, replace, etcétera</t>
  </si>
  <si>
    <t>Validaciones correctas del lado del servidor, bien sea mediante peticiones directas a través de URLS o empleando formularios</t>
  </si>
  <si>
    <t>Uso de un formato de URLs inconsistente entre las diferentes rutas de los controladores.</t>
  </si>
  <si>
    <t>La NO documentación correcta del código, siguiendo los estándares</t>
  </si>
  <si>
    <t>Nombrado de ficheros de entrega y formatos correctos</t>
  </si>
  <si>
    <t>La compilación del código genere “warnings”.</t>
  </si>
  <si>
    <t xml:space="preserve">El sistema de paginación debe mantener el criterio de búsqueda </t>
  </si>
  <si>
    <t>Acceder al formulario de login estando autenticado.</t>
  </si>
  <si>
    <t>Pruebas-Uso de asertos al final de cada prueba</t>
  </si>
  <si>
    <t>Documentación del proyecto</t>
  </si>
  <si>
    <t>Problemas durante el despliegue</t>
  </si>
  <si>
    <t>Otra penalización</t>
  </si>
  <si>
    <t>TOTAL PEN</t>
  </si>
  <si>
    <t xml:space="preserve">&lt;-- Puntuación correspondiente a los fallos generales del alumno que se restarán a la nota TOTAL REQ (Documentación de Código, Errores de formato en la entrega, No uso del Log, </t>
  </si>
  <si>
    <t>CASOS DE PRUEBA (Para rellenar por el ALUMNO</t>
  </si>
  <si>
    <t>Caso de prueba</t>
  </si>
  <si>
    <t>Tipo</t>
  </si>
  <si>
    <t>Estado</t>
  </si>
  <si>
    <t>Explicación/Aclaración</t>
  </si>
  <si>
    <t>Descripción de la prueba</t>
  </si>
  <si>
    <t>OB</t>
  </si>
  <si>
    <t>OK</t>
  </si>
  <si>
    <t>Implementada en UserControllerTest.prueba1_registroConDatosValidos. Verifica registro correcto y redirección al listado de espacios.</t>
  </si>
  <si>
    <t>Registro de usuario estándar con datos válidos.</t>
  </si>
  <si>
    <t>Implementada en UserControllerTest.prueba2_registroConDatosInvalidosConfirmacionIncorrecta. Verifica mensaje de error por contraseñas no coincidentes.</t>
  </si>
  <si>
    <t>Registro con contraseñas que no coinciden.</t>
  </si>
  <si>
    <t>Implementada en UserControllerTest.prueba3_registroConDniDuplicado. Verifica rechazo del registro con DNI ya existente.</t>
  </si>
  <si>
    <t>Registro con DNI ya existente en el sistema.</t>
  </si>
  <si>
    <t>Implementada en UserControllerTest.prueba4_registroConContrasenaInvalida. Verifica rechazo por contraseña que no cumple requisitos.</t>
  </si>
  <si>
    <t>Registro con contraseña que no cumple requisitos (longitud o símbolos).</t>
  </si>
  <si>
    <t>mplementada en UserControllerTest.prueba5_loginValidoAdministrador. Verifica login correcto del administrador 12345678Z y acceso al listado global de reservas.</t>
  </si>
  <si>
    <t>Inicio de sesión con datos válidos (Administrador: 12345678Z).</t>
  </si>
  <si>
    <t>Implementada en UserControllerTest.prueba6_loginValidoUsuarioEstandar. Verifica login correcto de usuario estándar y redirección al listado de espacios.</t>
  </si>
  <si>
    <t>Inicio de sesión con datos válidos (Usuario Estándar).</t>
  </si>
  <si>
    <t>Implementada en UserControllerTest.prueba7_loginInvalidoDniInexistente. Verifica mensaje de error con DNI inexistente.</t>
  </si>
  <si>
    <t>Inicio de sesión con DNI inexistente.</t>
  </si>
  <si>
    <t>Implementada en UserControllerTest.prueba8_loginInvalidoContrasenaIncorrecta. Verifica mensaje de error con contraseña incorrecta.</t>
  </si>
  <si>
    <t>Inicio de sesión con contraseña incorrecta.</t>
  </si>
  <si>
    <t>Implementada en UserControllerTest.prueba9_logoutUsuarioEstandar. Verifica cierre de sesión y redirección a login al intentar acceder a recurso privado.</t>
  </si>
  <si>
    <t>Salir de sesión como usuario estándar y verificar redirección a Login.</t>
  </si>
  <si>
    <t>Implementada en UserControllerTest.prueba10_logoutAdministrador. Verifica cierre de sesión y redirección a login al intentar acceder a recurso privado de administración.</t>
  </si>
  <si>
    <t>Salir de sesión como usuario administrador y verificar redirección a Login.</t>
  </si>
  <si>
    <t>Implementada en SpacesSeleniumFunctionalTest.prueba11_registrarNuevoEspacioDatosValidos_admin. Verifica creación correcta y aparición en el listado.</t>
  </si>
  <si>
    <t>Registrar nuevo espacio con datos válidos (Admin).</t>
  </si>
  <si>
    <t>Implementada en SpacesSeleniumFunctionalTest.prueba12_registrarNuevoEspacioDatosInvalidos_nombreVacio_admin. Verifica error por nombre vacío.</t>
  </si>
  <si>
    <t>Registrar espacio con nombre vacío (debe fallar).</t>
  </si>
  <si>
    <t>Implementada en SpacesSeleniumFunctionalTest.prueba13_registrarNuevoEspacioDatosInvalidos_capacidadMenorUno_admin. Verifica error por capacidad 0.</t>
  </si>
  <si>
    <t>Registrar espacio con capacidad menor que 1 (debe fallar).</t>
  </si>
  <si>
    <t>Implementada en SpacesSeleniumFunctionalTest.prueba14_registrarEspacioNombreDuplicado_activo_admin. Verifica error por nombre duplicado en espacio activo.</t>
  </si>
  <si>
    <t>Registrar espacio con nombre duplicado activo.</t>
  </si>
  <si>
    <t>Implementada en SpacesSeleniumFunctionalTest.prueba15_editarEspacioExistenteDatosValidos_admin. Verifica edición correcta y actualización del nombre.</t>
  </si>
  <si>
    <t>Editar ubicación y capacidad de un espacio existente.</t>
  </si>
  <si>
    <t>Implementada en SpacesSeleniumFunctionalTest.prueba16_editarEspacioExistenteDatosInvalidos_capacidadMenorUno_admin. Verifica error por capacidad inválida al editar.</t>
  </si>
  <si>
    <t>Editar espacio dejando capacidad en 0 (debe fallar).</t>
  </si>
  <si>
    <t>Implementada en SpacesSeleniumFunctionalTest.prueba17_desactivarEspacio_y_verificar_no_reservable. Verifica que al desactivar no aparece en disponibles.</t>
  </si>
  <si>
    <t>Desactivar un espacio y verificar que desaparece de "disponibles".</t>
  </si>
  <si>
    <t>Implementada en SpacesSeleniumFunctionalTest.prueba18_activarEspacio_y_verificar_reservable. Verifica que al activar vuelve a aparecer en disponibles.</t>
  </si>
  <si>
    <t>Activar un espacio y verificar que vuelve a ser reservable.</t>
  </si>
  <si>
    <t>Implementada en SpacesSeleniumFunctionalTest.prueba19_crearBloqueoMantenimientoValido. Verifica creación de bloqueo de mantenimiento válido.</t>
  </si>
  <si>
    <t>Crear un bloqueo de mantenimiento válido.</t>
  </si>
  <si>
    <t>Implementada en SpacesSeleniumFunctionalTest.prueba20_crearBloqueoSolapadoConOtroBloqueo. Verifica rechazo por solape con otro bloqueo.</t>
  </si>
  <si>
    <t>Crear bloqueo solapado con otro bloqueo existente (fallo).</t>
  </si>
  <si>
    <t>Implementada en SpacesSeleniumFunctionalTest.prueba21_crearBloqueoSolapadoConReservaActiva. Verifica error o colisión al solapar con reserva activa.</t>
  </si>
  <si>
    <t>Crear bloqueo solapado con una reserva activa (fallo).</t>
  </si>
  <si>
    <t xml:space="preserve">Implementada en SpacesSeleniumFunctionalTest.prueba22_cancelarBloqueoMantenimiento_y_verificar_que_no_impide_reservas. Verifica cancelación de bloqueo y desaparición en disponibilidad. </t>
  </si>
  <si>
    <t>Cancelar bloqueo y verificar que la franja queda libre para reservar.</t>
  </si>
  <si>
    <t>Implementada en GlobalReservationsTest.prueba23_listadoGlobalConPaginacion. Verifica el listado global de reservas con paginación.</t>
  </si>
  <si>
    <t>Consulta global.</t>
  </si>
  <si>
    <t>Implementada en GlobalReservationsTest.prueba24_filtrarListadoGlobalPorEspacio. Verifica el filtrado del listado global por espacio con paginación.</t>
  </si>
  <si>
    <t>Consultar listado con filtrado por nombre de espacio.</t>
  </si>
  <si>
    <t>mplementada en GlobalReservationsTest.prueba25_filtrarListadoGlobalPorRangoFechas. Verifica el filtrado del listado global por rango de fechas con paginación.</t>
  </si>
  <si>
    <t>Consultar listado con filtrado por rango de fechas.</t>
  </si>
  <si>
    <t>Implementada en SpacesTest.prueba26_consultarListadoEspaciosDisponibles. Verifica el listado de espacios disponibles para usuario estándar.</t>
  </si>
  <si>
    <t>Listar espacios disponibles con rol de usuario estándar.</t>
  </si>
  <si>
    <t>Implementada en SpacesTest.prueba27_aplicarFiltroEnListadoEspacios. Verifica el filtrado en el listado de espacios.</t>
  </si>
  <si>
    <t>Aplicar filtro por tipo de espacio (Sala/Aula/Cowork).</t>
  </si>
  <si>
    <t>Implementada en SpacesTest.prueba28_accederDetalleDeEspacioDesdeListado. Verifica el acceso al detalle de un espacio desde el listado.</t>
  </si>
  <si>
    <t>Acceder a la ficha de detalle de un espacio desde el listado.</t>
  </si>
  <si>
    <t>Implementada en SpacesTest.prueba29_consultarDisponibilidadConFranjasOcupadas. Verifica la consulta de disponibilidad de un espacio mostrando ocupación por reservas y bloqueos activos.</t>
  </si>
  <si>
    <t>Consultar disponibilidad de una franja de días y ver franjas ocupadas por bloqueos.</t>
  </si>
  <si>
    <t>Implementada en ReservationControllerTest.prueba30_registrarReservaValida. Alta correcta de reserva y redirección al detalle.</t>
  </si>
  <si>
    <t>Registrar reserva válida en el futuro.</t>
  </si>
  <si>
    <t>Implementada en ReservationControllerTest.prueba31_registrarReservaInvalidaInicioPosteriorFin. Rechaza reserva con fin anterior e informa error.</t>
  </si>
  <si>
    <t>Intentar registrar reserva en el pasado (debe fallar).</t>
  </si>
  <si>
    <t>Implementada en ReservationControllerTest.prueba32_crearDosReservasSolapadas. Rechaza solape con error de reserva activa.</t>
  </si>
  <si>
    <t>Intentar reservar en una franja ya ocupada por otra reserva.</t>
  </si>
  <si>
    <t>Implementada en ReservationControllerTest.prueba33_reservarDentroDeBloque. Rechaza reserva dentro de bloqueo activo.</t>
  </si>
  <si>
    <t>Intentar reservar en una franja ocupada por mantenimiento.</t>
  </si>
  <si>
    <t>Implementada en ReservationControllerTest.prueba34_consultarListadoReservasPropias. Acceso al listado de reservas propias.</t>
  </si>
  <si>
    <t>Consultar listado de reservas propias (activas y canceladas).</t>
  </si>
  <si>
    <t>Implementada en ReservationControllerTest.prueba35_filtrarReservasPropiasCanceladas. Filtra reservas propias por CANCELLED.</t>
  </si>
  <si>
    <t>Filtrar reservas propias por estado "CANCELADA".</t>
  </si>
  <si>
    <t>Implementada en ReservationControllerTest.prueba36_cancelarReservaPropiaYNoOcuparDisponibilidad. Cancela reserva propia y redirige.</t>
  </si>
  <si>
    <t>Cancelar reserva propia y verificar cambio de estado a "CANCELADA".</t>
  </si>
  <si>
    <t xml:space="preserve"> Implementada en UserControllerTest.prueba37_modificarContrasenaDatosValidos. Verifica actualización y login con la nueva contraseña (hash aplicado por el servicio).</t>
  </si>
  <si>
    <t>Modificar contraseña con éxito cumpliendo seguridad.</t>
  </si>
  <si>
    <t xml:space="preserve"> Implementada en UserControllerTest.prueba38_modificarContrasenaDatosInvalidos. Valida que la contraseña nueva vacía es rechazada.</t>
  </si>
  <si>
    <t>Intentar modificar contraseña dejando el campo vacío.</t>
  </si>
  <si>
    <t>Implementada en SpacesTest.prueba39_cambiarIdiomaEnInterfaz. Cambia idioma con los botones y valida el título en EN/ES.</t>
  </si>
  <si>
    <t>Cambiar idioma de Español a Inglés y verificar traducción a inglés de menús y botones de alguna vista.</t>
  </si>
  <si>
    <t>Implementada en SecurityTest.prueba40_accesoDenegadoUsuarioEstandarRecursosAdmin. Accede como USER a /reservas/listado-global y /espacios/nuevo y comprueba redirección/denegación.</t>
  </si>
  <si>
    <t>Usuario estándar intenta acceder a URL de gestión de espacios (Denegado).</t>
  </si>
  <si>
    <t>Implementada en SecurityTest.prueba41_intentoCancelarReservaAjena. Hace POST directo a /reservas/{id}/cancelar de otra persona y verifica que la reserva sigue ACTIVE.</t>
  </si>
  <si>
    <t>Intentar cancelar una reserva que pertenece a otro usuario mediante ID.</t>
  </si>
  <si>
    <t>OP</t>
  </si>
  <si>
    <t xml:space="preserve"> Implementada en ReservationsTest.prueba42_registrarReservaSemanalRecurrente. Verifica la creación correcta de una reserva recurrente semanal.</t>
  </si>
  <si>
    <t>Crear reserva recurrente semanal y verificar creación de múltiples citas.</t>
  </si>
  <si>
    <t>Implementada en ReservationsTest.prueba43_rechazarReservaRecurrenteConSolape. Verifica el rechazo de una reserva recurrente con solape.</t>
  </si>
  <si>
    <t>Crear recurrente que falla por solape con otra reserva o bloqueo.</t>
  </si>
  <si>
    <t>Implementada en ReservationsTest.prueba44_crearReservasHastaAlcanzarLimite. Verifica la creación de reservas hasta alcanzar el límite permitido.</t>
  </si>
  <si>
    <t>Alcanzar límite de 3 reservas activas e intentar una cuarta (fallo).</t>
  </si>
  <si>
    <t>Implementada en ReservationsTest.prueba45_rechazarReservaPorSuperarLimite. Verifica el rechazo de una reserva al superar el límite permitido.</t>
  </si>
  <si>
    <t>Intentar crear otra reserva y verificar que elsistema no lo permite</t>
  </si>
  <si>
    <t>Implementada en GlobalReservationsTest.prueba46_exportarReservasCsvFiltradas. Exporta CSV filtrado y valida cabecera.</t>
  </si>
  <si>
    <t>Exportar listado de reservas a CSV y verificar contenido de cabecera.</t>
  </si>
  <si>
    <t>Ex</t>
  </si>
  <si>
    <t>Implementada en UserServiceTest.prueba47_signUpGuardaContrasenaCifrada.</t>
  </si>
  <si>
    <t>Registra usuario y valida hash BCrypt. Guardar contraseña cifrada al crear usuario</t>
  </si>
  <si>
    <t>Implementada en UserServiceTest.prueba48_existeAdministradorPorDefecto</t>
  </si>
  <si>
    <t>Inicia sesión admin y comprueba tabla global. Verificar que existe administrador por defecto y puede acceder.</t>
  </si>
  <si>
    <t>Verificar que existe administrador por defecto y puede acceder.</t>
  </si>
  <si>
    <t>SIN</t>
  </si>
  <si>
    <t xml:space="preserve"> </t>
  </si>
  <si>
    <r>
      <t>El Alumno deberé rellenar la tabla que pone</t>
    </r>
    <r>
      <rPr>
        <b/>
        <sz val="12"/>
        <color theme="1"/>
        <rFont val="Calibri"/>
        <family val="2"/>
        <scheme val="minor"/>
      </rPr>
      <t xml:space="preserve"> Casos de Prueba. El resto de tablas son orientativas para que despues el profesor las rellene al evaluar la práctica</t>
    </r>
  </si>
  <si>
    <r>
      <t xml:space="preserve">El Alumno deberé rellenar la columna </t>
    </r>
    <r>
      <rPr>
        <b/>
        <sz val="12"/>
        <color theme="1"/>
        <rFont val="Calibri"/>
        <family val="2"/>
        <scheme val="minor"/>
      </rPr>
      <t>Estado</t>
    </r>
    <r>
      <rPr>
        <sz val="12"/>
        <color theme="1"/>
        <rFont val="Calibri"/>
        <family val="2"/>
        <scheme val="minor"/>
      </rPr>
      <t xml:space="preserve"> de esa tabla así como una </t>
    </r>
    <r>
      <rPr>
        <b/>
        <sz val="12"/>
        <color theme="1"/>
        <rFont val="Calibri"/>
        <family val="2"/>
        <scheme val="minor"/>
      </rPr>
      <t>explicación/aclaración</t>
    </r>
    <r>
      <rPr>
        <sz val="12"/>
        <color theme="1"/>
        <rFont val="Calibri"/>
        <family val="2"/>
        <scheme val="minor"/>
      </rPr>
      <t xml:space="preserve"> si así lo considera (sobre todo para los casos FAIL o SIN).</t>
    </r>
  </si>
  <si>
    <t xml:space="preserve">En caso de haber realizado alguna prueba extra deberá añadir más filas en esa tabla indicando el requisito y el estado y tipo de prueba en las columnas oportunas. Se ha dejado espacio para </t>
  </si>
  <si>
    <t>Tipo de caso</t>
  </si>
  <si>
    <t>Descripción</t>
  </si>
  <si>
    <t>Prueba obligatoria</t>
  </si>
  <si>
    <t>Prueba opcional</t>
  </si>
  <si>
    <t>Prueba extra añadida por el alumno</t>
  </si>
  <si>
    <t>Estado del caso</t>
  </si>
  <si>
    <t>Sin hacer</t>
  </si>
  <si>
    <t>Prueba realizada y funcionando correctamente</t>
  </si>
  <si>
    <t>FAIL</t>
  </si>
  <si>
    <t>Prueba realizada pero con algún fallo de funcionamiento.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</si>
</sst>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  <scheme val="minor"/>
    </font>
    <font>
      <sz val="12"/>
      <name val="Garamond"/>
      <family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BC0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wrapText="1"/>
    </xf>
    <xf numFmtId="0" fontId="8" fillId="0" borderId="0" xfId="0" applyFont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7" fillId="5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0" fontId="0" fillId="7" borderId="1" xfId="0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1" xfId="0" applyFont="1" applyBorder="1"/>
    <xf numFmtId="0" fontId="0" fillId="0" borderId="17" xfId="0" applyBorder="1"/>
    <xf numFmtId="0" fontId="0" fillId="0" borderId="13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20" xfId="0" applyFont="1" applyBorder="1"/>
    <xf numFmtId="0" fontId="0" fillId="7" borderId="4" xfId="0" applyFill="1" applyBorder="1" applyAlignment="1">
      <alignment horizontal="center"/>
    </xf>
    <xf numFmtId="0" fontId="11" fillId="7" borderId="20" xfId="0" applyFont="1" applyFill="1" applyBorder="1"/>
    <xf numFmtId="0" fontId="3" fillId="0" borderId="20" xfId="0" applyFont="1" applyBorder="1"/>
    <xf numFmtId="0" fontId="12" fillId="0" borderId="20" xfId="0" applyFont="1" applyBorder="1"/>
    <xf numFmtId="0" fontId="7" fillId="6" borderId="20" xfId="0" applyFont="1" applyFill="1" applyBorder="1" applyAlignment="1">
      <alignment horizontal="center"/>
    </xf>
    <xf numFmtId="0" fontId="8" fillId="0" borderId="20" xfId="0" applyFont="1" applyBorder="1"/>
    <xf numFmtId="0" fontId="7" fillId="0" borderId="20" xfId="0" applyFont="1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0" fontId="1" fillId="0" borderId="20" xfId="0" applyFont="1" applyBorder="1"/>
    <xf numFmtId="0" fontId="0" fillId="0" borderId="23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1" fillId="0" borderId="5" xfId="0" applyNumberFormat="1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0" fillId="0" borderId="24" xfId="0" applyBorder="1" applyAlignment="1">
      <alignment horizontal="center"/>
    </xf>
    <xf numFmtId="0" fontId="0" fillId="0" borderId="24" xfId="0" applyBorder="1" applyAlignment="1" applyProtection="1">
      <alignment horizontal="center"/>
      <protection locked="0"/>
    </xf>
    <xf numFmtId="0" fontId="3" fillId="8" borderId="1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7" fillId="4" borderId="17" xfId="0" applyFont="1" applyFill="1" applyBorder="1" applyAlignment="1" applyProtection="1">
      <alignment horizontal="justify" wrapText="1"/>
      <protection locked="0"/>
    </xf>
    <xf numFmtId="0" fontId="7" fillId="4" borderId="18" xfId="0" applyFont="1" applyFill="1" applyBorder="1" applyAlignment="1" applyProtection="1">
      <alignment horizontal="justify" wrapText="1"/>
      <protection locked="0"/>
    </xf>
    <xf numFmtId="0" fontId="7" fillId="4" borderId="19" xfId="0" applyFont="1" applyFill="1" applyBorder="1" applyAlignment="1" applyProtection="1">
      <alignment horizontal="justify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5" fillId="2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4" borderId="17" xfId="0" applyFont="1" applyFill="1" applyBorder="1" applyAlignment="1" applyProtection="1">
      <alignment horizontal="justify"/>
      <protection locked="0"/>
    </xf>
    <xf numFmtId="0" fontId="7" fillId="4" borderId="18" xfId="0" applyFont="1" applyFill="1" applyBorder="1" applyAlignment="1" applyProtection="1">
      <alignment horizontal="justify"/>
      <protection locked="0"/>
    </xf>
    <xf numFmtId="0" fontId="7" fillId="4" borderId="19" xfId="0" applyFont="1" applyFill="1" applyBorder="1" applyAlignment="1" applyProtection="1">
      <alignment horizontal="justify"/>
      <protection locked="0"/>
    </xf>
    <xf numFmtId="0" fontId="7" fillId="4" borderId="1" xfId="0" applyFont="1" applyFill="1" applyBorder="1" applyAlignment="1" applyProtection="1">
      <alignment horizontal="justify" wrapText="1"/>
      <protection locked="0"/>
    </xf>
    <xf numFmtId="0" fontId="7" fillId="0" borderId="1" xfId="0" applyFont="1" applyBorder="1" applyAlignment="1" applyProtection="1">
      <alignment horizontal="justify" wrapText="1"/>
      <protection locked="0"/>
    </xf>
    <xf numFmtId="0" fontId="7" fillId="4" borderId="1" xfId="0" applyFont="1" applyFill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7" fillId="3" borderId="1" xfId="0" applyFont="1" applyFill="1" applyBorder="1" applyAlignment="1" applyProtection="1">
      <alignment horizontal="center" wrapText="1"/>
      <protection locked="0"/>
    </xf>
    <xf numFmtId="0" fontId="7" fillId="4" borderId="16" xfId="0" applyFont="1" applyFill="1" applyBorder="1" applyAlignment="1" applyProtection="1">
      <alignment horizontal="center" wrapText="1"/>
      <protection locked="0"/>
    </xf>
    <xf numFmtId="0" fontId="7" fillId="3" borderId="16" xfId="0" applyFont="1" applyFill="1" applyBorder="1" applyAlignment="1" applyProtection="1">
      <alignment horizontal="center" wrapText="1"/>
      <protection locked="0"/>
    </xf>
    <xf numFmtId="0" fontId="0" fillId="0" borderId="24" xfId="0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topLeftCell="A104" zoomScale="85" zoomScaleNormal="85" workbookViewId="0">
      <selection activeCell="I136" sqref="I136"/>
    </sheetView>
  </sheetViews>
  <sheetFormatPr defaultColWidth="11" defaultRowHeight="15.95"/>
  <cols>
    <col min="2" max="2" width="13.5" style="14" bestFit="1" customWidth="1"/>
    <col min="3" max="3" width="11.375" style="14" customWidth="1"/>
    <col min="4" max="6" width="11" style="14"/>
    <col min="7" max="7" width="15" style="14" customWidth="1"/>
    <col min="8" max="8" width="39.875" style="14" customWidth="1"/>
    <col min="9" max="9" width="49.125" customWidth="1"/>
    <col min="10" max="10" width="113.875" style="8" customWidth="1"/>
  </cols>
  <sheetData>
    <row r="1" spans="2:9" ht="17.100000000000001" thickBot="1"/>
    <row r="2" spans="2:9" ht="32.1" thickBot="1">
      <c r="B2" s="66" t="s">
        <v>0</v>
      </c>
      <c r="C2" s="67"/>
      <c r="D2" s="67"/>
      <c r="E2" s="67"/>
      <c r="F2" s="67"/>
      <c r="G2" s="67"/>
      <c r="H2" s="68"/>
      <c r="I2" s="33"/>
    </row>
    <row r="3" spans="2:9" ht="21">
      <c r="B3" s="85" t="s">
        <v>1</v>
      </c>
      <c r="C3" s="86"/>
      <c r="D3" s="86"/>
      <c r="E3" s="86"/>
      <c r="F3" s="86"/>
      <c r="G3" s="86"/>
      <c r="H3" s="86"/>
      <c r="I3" s="34"/>
    </row>
    <row r="4" spans="2:9" ht="21.95" thickBot="1">
      <c r="B4" s="87">
        <f>H38</f>
        <v>10</v>
      </c>
      <c r="C4" s="88"/>
      <c r="D4" s="88"/>
      <c r="E4" s="88"/>
      <c r="F4" s="88"/>
      <c r="G4" s="88"/>
      <c r="H4" s="88"/>
      <c r="I4" s="34"/>
    </row>
    <row r="5" spans="2:9" ht="21">
      <c r="B5" s="85" t="s">
        <v>2</v>
      </c>
      <c r="C5" s="86"/>
      <c r="D5" s="86"/>
      <c r="E5" s="86"/>
      <c r="F5" s="86"/>
      <c r="G5" s="86"/>
      <c r="H5" s="86"/>
      <c r="I5" s="34"/>
    </row>
    <row r="6" spans="2:9" ht="26.25" customHeight="1" thickBot="1">
      <c r="B6" s="87">
        <f>H80</f>
        <v>0</v>
      </c>
      <c r="C6" s="88"/>
      <c r="D6" s="88"/>
      <c r="E6" s="88"/>
      <c r="F6" s="88"/>
      <c r="G6" s="88"/>
      <c r="H6" s="88"/>
      <c r="I6" s="34"/>
    </row>
    <row r="7" spans="2:9" ht="26.1">
      <c r="B7" s="83" t="s">
        <v>3</v>
      </c>
      <c r="C7" s="84"/>
      <c r="D7" s="84"/>
      <c r="E7" s="84"/>
      <c r="F7" s="84"/>
      <c r="G7" s="84"/>
      <c r="H7" s="84"/>
      <c r="I7" s="34"/>
    </row>
    <row r="8" spans="2:9" ht="30" customHeight="1">
      <c r="B8" s="64">
        <f>B4-B6</f>
        <v>10</v>
      </c>
      <c r="C8" s="65"/>
      <c r="D8" s="65"/>
      <c r="E8" s="65"/>
      <c r="F8" s="65"/>
      <c r="G8" s="65"/>
      <c r="H8" s="65"/>
      <c r="I8" s="34"/>
    </row>
    <row r="9" spans="2:9">
      <c r="B9" s="35"/>
      <c r="I9" s="34"/>
    </row>
    <row r="10" spans="2:9" ht="17.100000000000001" thickBot="1">
      <c r="B10" s="35"/>
      <c r="I10" s="34"/>
    </row>
    <row r="11" spans="2:9" ht="32.1" thickBot="1">
      <c r="B11" s="66" t="s">
        <v>4</v>
      </c>
      <c r="C11" s="67"/>
      <c r="D11" s="67"/>
      <c r="E11" s="67"/>
      <c r="F11" s="67"/>
      <c r="G11" s="67"/>
      <c r="H11" s="68"/>
      <c r="I11" s="34"/>
    </row>
    <row r="12" spans="2:9" ht="33.950000000000003">
      <c r="B12" s="3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15" t="s">
        <v>11</v>
      </c>
      <c r="I12" s="37" t="s">
        <v>12</v>
      </c>
    </row>
    <row r="13" spans="2:9">
      <c r="B13" s="20">
        <v>1</v>
      </c>
      <c r="C13" s="16">
        <f t="shared" ref="C13:C31" si="0">COUNTIF($C$85:$C$144,B13)</f>
        <v>4</v>
      </c>
      <c r="D13" s="23">
        <v>0.5</v>
      </c>
      <c r="E13" s="16">
        <f t="shared" ref="E13:E31" si="1">COUNTIFS($C$85:$C$144,$B13,$E$85:$E$144,"=OK")</f>
        <v>4</v>
      </c>
      <c r="F13" s="16">
        <f t="shared" ref="F13:F29" si="2">COUNTIFS($C$85:$C$144,$B13,$E$85:$E$144,"=FAIL")</f>
        <v>0</v>
      </c>
      <c r="G13" s="16">
        <f t="shared" ref="G13:G29" si="3">COUNTIFS($C$85:$C$144,$B13,$E$85:$E$144,"=SIN")</f>
        <v>0</v>
      </c>
      <c r="H13" s="16">
        <f>MIN(D13,(E13/C13)*D13)</f>
        <v>0.5</v>
      </c>
      <c r="I13" s="38" t="s">
        <v>13</v>
      </c>
    </row>
    <row r="14" spans="2:9">
      <c r="B14" s="20">
        <v>2</v>
      </c>
      <c r="C14" s="16">
        <f t="shared" si="0"/>
        <v>4</v>
      </c>
      <c r="D14" s="16">
        <v>0.25</v>
      </c>
      <c r="E14" s="16">
        <f t="shared" si="1"/>
        <v>4</v>
      </c>
      <c r="F14" s="16">
        <f t="shared" si="2"/>
        <v>0</v>
      </c>
      <c r="G14" s="16">
        <f t="shared" si="3"/>
        <v>0</v>
      </c>
      <c r="H14" s="16">
        <f t="shared" ref="H14:H25" si="4">MIN(D14,(E14/C14)*D14)</f>
        <v>0.25</v>
      </c>
      <c r="I14" s="38" t="s">
        <v>14</v>
      </c>
    </row>
    <row r="15" spans="2:9">
      <c r="B15" s="20">
        <v>3</v>
      </c>
      <c r="C15" s="16">
        <f t="shared" si="0"/>
        <v>2</v>
      </c>
      <c r="D15" s="16">
        <v>0.25</v>
      </c>
      <c r="E15" s="16">
        <f t="shared" si="1"/>
        <v>2</v>
      </c>
      <c r="F15" s="16">
        <f t="shared" si="2"/>
        <v>0</v>
      </c>
      <c r="G15" s="16">
        <f t="shared" si="3"/>
        <v>0</v>
      </c>
      <c r="H15" s="16">
        <f>MIN(D15,(E15/C15)*D15)</f>
        <v>0.25</v>
      </c>
      <c r="I15" s="38" t="s">
        <v>15</v>
      </c>
    </row>
    <row r="16" spans="2:9">
      <c r="B16" s="20">
        <v>4</v>
      </c>
      <c r="C16" s="16">
        <f t="shared" si="0"/>
        <v>4</v>
      </c>
      <c r="D16" s="16">
        <v>0.5</v>
      </c>
      <c r="E16" s="16">
        <v>4</v>
      </c>
      <c r="F16" s="16">
        <f t="shared" si="2"/>
        <v>0</v>
      </c>
      <c r="G16" s="16">
        <f t="shared" si="3"/>
        <v>0</v>
      </c>
      <c r="H16" s="16">
        <f t="shared" si="4"/>
        <v>0.5</v>
      </c>
      <c r="I16" s="38" t="s">
        <v>16</v>
      </c>
    </row>
    <row r="17" spans="2:9">
      <c r="B17" s="20">
        <v>5</v>
      </c>
      <c r="C17" s="16">
        <f t="shared" si="0"/>
        <v>2</v>
      </c>
      <c r="D17" s="16">
        <v>0.25</v>
      </c>
      <c r="E17" s="16">
        <v>2</v>
      </c>
      <c r="F17" s="16">
        <f t="shared" si="2"/>
        <v>0</v>
      </c>
      <c r="G17" s="16">
        <f t="shared" si="3"/>
        <v>0</v>
      </c>
      <c r="H17" s="16">
        <f t="shared" si="4"/>
        <v>0.25</v>
      </c>
      <c r="I17" s="38" t="s">
        <v>17</v>
      </c>
    </row>
    <row r="18" spans="2:9">
      <c r="B18" s="20">
        <v>6</v>
      </c>
      <c r="C18" s="16">
        <f t="shared" si="0"/>
        <v>2</v>
      </c>
      <c r="D18" s="16">
        <v>0.25</v>
      </c>
      <c r="E18" s="16">
        <v>2</v>
      </c>
      <c r="F18" s="16">
        <f t="shared" si="2"/>
        <v>0</v>
      </c>
      <c r="G18" s="16">
        <f t="shared" si="3"/>
        <v>0</v>
      </c>
      <c r="H18" s="16">
        <f t="shared" si="4"/>
        <v>0.25</v>
      </c>
      <c r="I18" s="38" t="s">
        <v>18</v>
      </c>
    </row>
    <row r="19" spans="2:9">
      <c r="B19" s="20">
        <v>7</v>
      </c>
      <c r="C19" s="16">
        <f t="shared" si="0"/>
        <v>3</v>
      </c>
      <c r="D19" s="16">
        <v>0.5</v>
      </c>
      <c r="E19" s="16">
        <v>3</v>
      </c>
      <c r="F19" s="16">
        <f t="shared" si="2"/>
        <v>0</v>
      </c>
      <c r="G19" s="16">
        <f t="shared" si="3"/>
        <v>0</v>
      </c>
      <c r="H19" s="16">
        <f t="shared" si="4"/>
        <v>0.5</v>
      </c>
      <c r="I19" s="38" t="s">
        <v>19</v>
      </c>
    </row>
    <row r="20" spans="2:9">
      <c r="B20" s="20">
        <v>8</v>
      </c>
      <c r="C20" s="16">
        <f t="shared" si="0"/>
        <v>1</v>
      </c>
      <c r="D20" s="16">
        <v>0.25</v>
      </c>
      <c r="E20" s="16">
        <f t="shared" si="1"/>
        <v>1</v>
      </c>
      <c r="F20" s="16">
        <f t="shared" si="2"/>
        <v>0</v>
      </c>
      <c r="G20" s="16">
        <f t="shared" si="3"/>
        <v>0</v>
      </c>
      <c r="H20" s="16">
        <f t="shared" si="4"/>
        <v>0.25</v>
      </c>
      <c r="I20" s="38" t="s">
        <v>20</v>
      </c>
    </row>
    <row r="21" spans="2:9">
      <c r="B21" s="20">
        <v>9</v>
      </c>
      <c r="C21" s="16">
        <f t="shared" si="0"/>
        <v>3</v>
      </c>
      <c r="D21" s="16">
        <v>0.25</v>
      </c>
      <c r="E21" s="16">
        <f t="shared" si="1"/>
        <v>3</v>
      </c>
      <c r="F21" s="16">
        <f t="shared" si="2"/>
        <v>0</v>
      </c>
      <c r="G21" s="16">
        <f t="shared" si="3"/>
        <v>0</v>
      </c>
      <c r="H21" s="16">
        <f t="shared" si="4"/>
        <v>0.25</v>
      </c>
      <c r="I21" s="38" t="s">
        <v>21</v>
      </c>
    </row>
    <row r="22" spans="2:9">
      <c r="B22" s="20">
        <v>10</v>
      </c>
      <c r="C22" s="16">
        <f t="shared" si="0"/>
        <v>2</v>
      </c>
      <c r="D22" s="16">
        <v>0.25</v>
      </c>
      <c r="E22" s="16">
        <f t="shared" si="1"/>
        <v>2</v>
      </c>
      <c r="F22" s="16">
        <f t="shared" si="2"/>
        <v>0</v>
      </c>
      <c r="G22" s="16">
        <f t="shared" si="3"/>
        <v>0</v>
      </c>
      <c r="H22" s="16">
        <f t="shared" si="4"/>
        <v>0.25</v>
      </c>
      <c r="I22" s="38" t="s">
        <v>22</v>
      </c>
    </row>
    <row r="23" spans="2:9">
      <c r="B23" s="20">
        <v>11</v>
      </c>
      <c r="C23" s="16">
        <f t="shared" si="0"/>
        <v>1</v>
      </c>
      <c r="D23" s="16">
        <v>0.25</v>
      </c>
      <c r="E23" s="16">
        <f t="shared" si="1"/>
        <v>1</v>
      </c>
      <c r="F23" s="16">
        <f t="shared" si="2"/>
        <v>0</v>
      </c>
      <c r="G23" s="16">
        <f t="shared" si="3"/>
        <v>0</v>
      </c>
      <c r="H23" s="16">
        <f t="shared" si="4"/>
        <v>0.25</v>
      </c>
      <c r="I23" s="38" t="s">
        <v>23</v>
      </c>
    </row>
    <row r="24" spans="2:9">
      <c r="B24" s="20">
        <v>12</v>
      </c>
      <c r="C24" s="16">
        <f t="shared" si="0"/>
        <v>1</v>
      </c>
      <c r="D24" s="16">
        <v>0.25</v>
      </c>
      <c r="E24" s="16">
        <f t="shared" si="1"/>
        <v>1</v>
      </c>
      <c r="F24" s="16">
        <f t="shared" si="2"/>
        <v>0</v>
      </c>
      <c r="G24" s="16">
        <f t="shared" si="3"/>
        <v>0</v>
      </c>
      <c r="H24" s="16">
        <f t="shared" si="4"/>
        <v>0.25</v>
      </c>
      <c r="I24" s="38" t="s">
        <v>24</v>
      </c>
    </row>
    <row r="25" spans="2:9">
      <c r="B25" s="20">
        <v>13</v>
      </c>
      <c r="C25" s="16">
        <f t="shared" si="0"/>
        <v>2</v>
      </c>
      <c r="D25" s="16">
        <v>0.5</v>
      </c>
      <c r="E25" s="16">
        <f t="shared" si="1"/>
        <v>2</v>
      </c>
      <c r="F25" s="16">
        <f t="shared" si="2"/>
        <v>0</v>
      </c>
      <c r="G25" s="16">
        <f t="shared" si="3"/>
        <v>0</v>
      </c>
      <c r="H25" s="16">
        <f t="shared" si="4"/>
        <v>0.5</v>
      </c>
      <c r="I25" s="38" t="s">
        <v>25</v>
      </c>
    </row>
    <row r="26" spans="2:9">
      <c r="B26" s="20">
        <v>14</v>
      </c>
      <c r="C26" s="16">
        <f t="shared" si="0"/>
        <v>2</v>
      </c>
      <c r="D26" s="16">
        <v>0.5</v>
      </c>
      <c r="E26" s="16">
        <f t="shared" si="1"/>
        <v>2</v>
      </c>
      <c r="F26" s="16">
        <f t="shared" si="2"/>
        <v>0</v>
      </c>
      <c r="G26" s="16">
        <f t="shared" si="3"/>
        <v>0</v>
      </c>
      <c r="H26" s="16">
        <f t="shared" ref="H26:H31" si="5">MIN(D26,(E26/C26)*D26)</f>
        <v>0.5</v>
      </c>
      <c r="I26" s="38" t="s">
        <v>26</v>
      </c>
    </row>
    <row r="27" spans="2:9">
      <c r="B27" s="20">
        <v>15</v>
      </c>
      <c r="C27" s="16">
        <f t="shared" si="0"/>
        <v>2</v>
      </c>
      <c r="D27" s="16">
        <v>0.25</v>
      </c>
      <c r="E27" s="16">
        <f t="shared" si="1"/>
        <v>2</v>
      </c>
      <c r="F27" s="16">
        <f t="shared" si="2"/>
        <v>0</v>
      </c>
      <c r="G27" s="16">
        <f t="shared" si="3"/>
        <v>0</v>
      </c>
      <c r="H27" s="26">
        <f t="shared" si="5"/>
        <v>0.25</v>
      </c>
      <c r="I27" s="38" t="s">
        <v>27</v>
      </c>
    </row>
    <row r="28" spans="2:9">
      <c r="B28" s="20">
        <v>16</v>
      </c>
      <c r="C28" s="16">
        <f t="shared" si="0"/>
        <v>1</v>
      </c>
      <c r="D28" s="16">
        <v>0.25</v>
      </c>
      <c r="E28" s="16">
        <f t="shared" si="1"/>
        <v>1</v>
      </c>
      <c r="F28" s="16">
        <f t="shared" si="2"/>
        <v>0</v>
      </c>
      <c r="G28" s="16">
        <f t="shared" si="3"/>
        <v>0</v>
      </c>
      <c r="H28" s="16">
        <f t="shared" si="5"/>
        <v>0.25</v>
      </c>
      <c r="I28" s="38" t="s">
        <v>28</v>
      </c>
    </row>
    <row r="29" spans="2:9">
      <c r="B29" s="20">
        <v>17</v>
      </c>
      <c r="C29" s="16">
        <f t="shared" si="0"/>
        <v>2</v>
      </c>
      <c r="D29" s="16">
        <v>0.25</v>
      </c>
      <c r="E29" s="16">
        <f t="shared" si="1"/>
        <v>2</v>
      </c>
      <c r="F29" s="16">
        <f t="shared" si="2"/>
        <v>0</v>
      </c>
      <c r="G29" s="16">
        <f t="shared" si="3"/>
        <v>0</v>
      </c>
      <c r="H29" s="16">
        <f t="shared" si="5"/>
        <v>0.25</v>
      </c>
      <c r="I29" s="38" t="s">
        <v>29</v>
      </c>
    </row>
    <row r="30" spans="2:9">
      <c r="B30" s="20">
        <v>18</v>
      </c>
      <c r="C30" s="16">
        <f t="shared" si="0"/>
        <v>1</v>
      </c>
      <c r="D30" s="16">
        <v>0.5</v>
      </c>
      <c r="E30" s="16">
        <f t="shared" si="1"/>
        <v>1</v>
      </c>
      <c r="F30" s="16">
        <f>COUNTIFS($C$85:$C$144,$B30,$E$85:$E$144,"FAIL")</f>
        <v>0</v>
      </c>
      <c r="G30" s="16">
        <f>COUNTIFS($C$85:$C$131,$B30,$E$85:$E$131,"=SIN")</f>
        <v>0</v>
      </c>
      <c r="H30" s="16">
        <f t="shared" si="5"/>
        <v>0.5</v>
      </c>
      <c r="I30" s="38" t="s">
        <v>30</v>
      </c>
    </row>
    <row r="31" spans="2:9">
      <c r="B31" s="20">
        <v>19</v>
      </c>
      <c r="C31" s="16">
        <f t="shared" si="0"/>
        <v>2</v>
      </c>
      <c r="D31" s="16">
        <v>1</v>
      </c>
      <c r="E31" s="16">
        <f t="shared" si="1"/>
        <v>2</v>
      </c>
      <c r="F31" s="16">
        <f>COUNTIFS($C$85:$C$144,$B31,$E$85:$E$144,"=FAIL")</f>
        <v>0</v>
      </c>
      <c r="G31" s="16">
        <f>COUNTIFS($C$85:$C$144,$B31,$E$85:$E$144,"=SIN")</f>
        <v>0</v>
      </c>
      <c r="H31" s="16">
        <f t="shared" si="5"/>
        <v>1</v>
      </c>
      <c r="I31" s="38" t="s">
        <v>31</v>
      </c>
    </row>
    <row r="32" spans="2:9" ht="21">
      <c r="B32" s="39">
        <v>20</v>
      </c>
      <c r="C32" s="28"/>
      <c r="D32" s="28">
        <v>1</v>
      </c>
      <c r="E32" s="28"/>
      <c r="F32" s="28"/>
      <c r="G32" s="28"/>
      <c r="H32" s="29">
        <v>0</v>
      </c>
      <c r="I32" s="40" t="s">
        <v>32</v>
      </c>
    </row>
    <row r="33" spans="2:10" ht="21">
      <c r="B33" s="20"/>
      <c r="C33" s="16"/>
      <c r="D33" s="16"/>
      <c r="E33" s="16"/>
      <c r="F33" s="16"/>
      <c r="G33" s="16"/>
      <c r="H33" s="56">
        <f>SUM(H13:H32)</f>
        <v>7</v>
      </c>
      <c r="I33" s="41" t="s">
        <v>33</v>
      </c>
    </row>
    <row r="34" spans="2:10">
      <c r="B34" s="20">
        <v>21</v>
      </c>
      <c r="C34" s="16">
        <f>COUNTIF($C$85:$C$144,B34)</f>
        <v>2</v>
      </c>
      <c r="D34" s="16">
        <v>1</v>
      </c>
      <c r="E34" s="16">
        <f>COUNTIFS($C$85:$C$144,$B34,$E$85:$E$144,"=OK")</f>
        <v>2</v>
      </c>
      <c r="F34" s="16">
        <f>COUNTIFS($C$85:$C$144,$B34,$E$85:$E$144,"=FAIL")</f>
        <v>0</v>
      </c>
      <c r="G34" s="16">
        <f>COUNTIFS($C$85:$C$144,$B34,$E$85:$E$144,"=SIN")</f>
        <v>0</v>
      </c>
      <c r="H34" s="26">
        <f>MIN(D34,(E34/C34)*D34)</f>
        <v>1</v>
      </c>
      <c r="I34" s="42" t="s">
        <v>34</v>
      </c>
    </row>
    <row r="35" spans="2:10">
      <c r="B35" s="20">
        <v>22</v>
      </c>
      <c r="C35" s="16">
        <f>COUNTIF($C$85:$C$144,B35)</f>
        <v>2</v>
      </c>
      <c r="D35" s="16">
        <v>1</v>
      </c>
      <c r="E35" s="16">
        <f>COUNTIFS($C$85:$C$144,$B35,$E$85:$E$144,"=OK")</f>
        <v>2</v>
      </c>
      <c r="F35" s="16">
        <f>COUNTIFS($C$85:$C$144,$B35,$E$85:$E$144,"=FAIL")</f>
        <v>0</v>
      </c>
      <c r="G35" s="16">
        <f>COUNTIFS($C$85:$C$144,$B35,$E$85:$E$144,"=SIN")</f>
        <v>0</v>
      </c>
      <c r="H35" s="26">
        <f t="shared" ref="H35:H36" si="6">MIN(D35,(E35/C35)*D35)</f>
        <v>1</v>
      </c>
      <c r="I35" s="42" t="s">
        <v>35</v>
      </c>
    </row>
    <row r="36" spans="2:10">
      <c r="B36" s="20">
        <v>23</v>
      </c>
      <c r="C36" s="16">
        <f>COUNTIF($C$85:$C$144,B36)</f>
        <v>1</v>
      </c>
      <c r="D36" s="16">
        <v>1</v>
      </c>
      <c r="E36" s="16">
        <f>COUNTIFS($C$85:$C$144,$B36,$E$85:$E$144,"=OK")</f>
        <v>1</v>
      </c>
      <c r="F36" s="16">
        <f>COUNTIFS($C$85:$C$144,$B36,$E$85:$E$144,"=FAIL")</f>
        <v>0</v>
      </c>
      <c r="G36" s="16">
        <f>COUNTIFS($C$85:$C$144,$B36,$E$85:$E$144,"=SIN")</f>
        <v>0</v>
      </c>
      <c r="H36" s="26">
        <f t="shared" si="6"/>
        <v>1</v>
      </c>
      <c r="I36" s="42" t="s">
        <v>36</v>
      </c>
    </row>
    <row r="37" spans="2:10" ht="21">
      <c r="B37" s="20"/>
      <c r="C37" s="16">
        <f>SUM(C13:C36)</f>
        <v>46</v>
      </c>
      <c r="D37" s="16"/>
      <c r="E37" s="16"/>
      <c r="F37" s="16"/>
      <c r="G37" s="16"/>
      <c r="H37" s="57">
        <f>SUM(H34:H36)</f>
        <v>3</v>
      </c>
      <c r="I37" s="41" t="s">
        <v>37</v>
      </c>
    </row>
    <row r="38" spans="2:10" ht="21.95" thickBot="1">
      <c r="B38" s="20"/>
      <c r="C38" s="7" t="s">
        <v>38</v>
      </c>
      <c r="D38" s="7">
        <f>SUM(D13:D36)</f>
        <v>11</v>
      </c>
      <c r="E38" s="16"/>
      <c r="F38" s="16"/>
      <c r="G38" s="24"/>
      <c r="H38" s="57">
        <f>H33+H37</f>
        <v>10</v>
      </c>
      <c r="I38" s="41" t="s">
        <v>39</v>
      </c>
    </row>
    <row r="39" spans="2:10" ht="32.1" thickBot="1">
      <c r="B39" s="69" t="s">
        <v>40</v>
      </c>
      <c r="C39" s="70"/>
      <c r="D39" s="70"/>
      <c r="E39" s="70"/>
      <c r="F39" s="70"/>
      <c r="G39" s="70"/>
      <c r="H39" s="71"/>
      <c r="I39" s="43"/>
      <c r="J39" s="25" t="s">
        <v>41</v>
      </c>
    </row>
    <row r="40" spans="2:10">
      <c r="B40" s="17" t="s">
        <v>42</v>
      </c>
      <c r="C40" s="74" t="s">
        <v>43</v>
      </c>
      <c r="D40" s="75"/>
      <c r="E40" s="75"/>
      <c r="F40" s="75"/>
      <c r="G40" s="75"/>
      <c r="H40" s="18" t="s">
        <v>44</v>
      </c>
      <c r="I40" s="44" t="s">
        <v>45</v>
      </c>
      <c r="J40" s="9" t="s">
        <v>46</v>
      </c>
    </row>
    <row r="41" spans="2:10" ht="31.5" customHeight="1">
      <c r="B41" s="19">
        <v>1</v>
      </c>
      <c r="C41" s="76" t="s">
        <v>47</v>
      </c>
      <c r="D41" s="77"/>
      <c r="E41" s="77"/>
      <c r="F41" s="77"/>
      <c r="G41" s="78"/>
      <c r="H41" s="12">
        <f>(10-J41)*I41/10</f>
        <v>0</v>
      </c>
      <c r="I41" s="45">
        <v>1</v>
      </c>
      <c r="J41" s="13">
        <v>10</v>
      </c>
    </row>
    <row r="42" spans="2:10" ht="30.95" customHeight="1">
      <c r="B42" s="19">
        <v>2</v>
      </c>
      <c r="C42" s="76" t="s">
        <v>48</v>
      </c>
      <c r="D42" s="77"/>
      <c r="E42" s="77"/>
      <c r="F42" s="77"/>
      <c r="G42" s="78"/>
      <c r="H42" s="12">
        <f>(10-J42)*I42/10</f>
        <v>0</v>
      </c>
      <c r="I42" s="45">
        <v>0.5</v>
      </c>
      <c r="J42" s="13">
        <v>10</v>
      </c>
    </row>
    <row r="43" spans="2:10" ht="29.25" customHeight="1">
      <c r="B43" s="19">
        <v>3</v>
      </c>
      <c r="C43" s="76" t="s">
        <v>49</v>
      </c>
      <c r="D43" s="77"/>
      <c r="E43" s="77"/>
      <c r="F43" s="77"/>
      <c r="G43" s="78"/>
      <c r="H43" s="12">
        <f t="shared" ref="H43:H79" si="7">(10-J43)*I43/10</f>
        <v>0</v>
      </c>
      <c r="I43" s="45">
        <v>1</v>
      </c>
      <c r="J43" s="13">
        <v>10</v>
      </c>
    </row>
    <row r="44" spans="2:10" ht="30" customHeight="1">
      <c r="B44" s="19">
        <v>4</v>
      </c>
      <c r="C44" s="79" t="s">
        <v>50</v>
      </c>
      <c r="D44" s="80"/>
      <c r="E44" s="80"/>
      <c r="F44" s="80"/>
      <c r="G44" s="80"/>
      <c r="H44" s="12">
        <f t="shared" si="7"/>
        <v>0</v>
      </c>
      <c r="I44" s="45">
        <v>0.5</v>
      </c>
      <c r="J44" s="13">
        <v>10</v>
      </c>
    </row>
    <row r="45" spans="2:10" ht="19.5" customHeight="1">
      <c r="B45" s="19">
        <v>5</v>
      </c>
      <c r="C45" s="76" t="s">
        <v>51</v>
      </c>
      <c r="D45" s="77"/>
      <c r="E45" s="77"/>
      <c r="F45" s="77"/>
      <c r="G45" s="78"/>
      <c r="H45" s="12">
        <f t="shared" si="7"/>
        <v>0</v>
      </c>
      <c r="I45" s="45">
        <v>0.5</v>
      </c>
      <c r="J45" s="13">
        <v>10</v>
      </c>
    </row>
    <row r="46" spans="2:10" ht="20.25" customHeight="1">
      <c r="B46" s="19">
        <v>6</v>
      </c>
      <c r="C46" s="79" t="s">
        <v>52</v>
      </c>
      <c r="D46" s="80"/>
      <c r="E46" s="80"/>
      <c r="F46" s="80"/>
      <c r="G46" s="80"/>
      <c r="H46" s="12">
        <f t="shared" si="7"/>
        <v>0</v>
      </c>
      <c r="I46" s="45">
        <v>1</v>
      </c>
      <c r="J46" s="13">
        <v>10</v>
      </c>
    </row>
    <row r="47" spans="2:10" ht="22.5" customHeight="1">
      <c r="B47" s="19">
        <v>7</v>
      </c>
      <c r="C47" s="79" t="s">
        <v>53</v>
      </c>
      <c r="D47" s="80"/>
      <c r="E47" s="80"/>
      <c r="F47" s="80"/>
      <c r="G47" s="80"/>
      <c r="H47" s="12">
        <f t="shared" si="7"/>
        <v>0</v>
      </c>
      <c r="I47" s="45">
        <v>1</v>
      </c>
      <c r="J47" s="13">
        <v>10</v>
      </c>
    </row>
    <row r="48" spans="2:10" ht="20.25" customHeight="1">
      <c r="B48" s="19">
        <v>8</v>
      </c>
      <c r="C48" s="79" t="s">
        <v>54</v>
      </c>
      <c r="D48" s="80"/>
      <c r="E48" s="80"/>
      <c r="F48" s="80"/>
      <c r="G48" s="80"/>
      <c r="H48" s="12">
        <f t="shared" si="7"/>
        <v>0</v>
      </c>
      <c r="I48" s="45">
        <v>0.5</v>
      </c>
      <c r="J48" s="13">
        <v>10</v>
      </c>
    </row>
    <row r="49" spans="2:10" ht="15.75" customHeight="1">
      <c r="B49" s="19">
        <v>9</v>
      </c>
      <c r="C49" s="60" t="s">
        <v>55</v>
      </c>
      <c r="D49" s="61"/>
      <c r="E49" s="61"/>
      <c r="F49" s="61"/>
      <c r="G49" s="62"/>
      <c r="H49" s="12">
        <f t="shared" si="7"/>
        <v>0</v>
      </c>
      <c r="I49" s="45">
        <v>1</v>
      </c>
      <c r="J49" s="13">
        <v>10</v>
      </c>
    </row>
    <row r="50" spans="2:10" ht="15.75" customHeight="1">
      <c r="B50" s="19">
        <v>10</v>
      </c>
      <c r="C50" s="60" t="s">
        <v>56</v>
      </c>
      <c r="D50" s="61"/>
      <c r="E50" s="61"/>
      <c r="F50" s="61"/>
      <c r="G50" s="62"/>
      <c r="H50" s="12">
        <f t="shared" si="7"/>
        <v>0</v>
      </c>
      <c r="I50" s="45">
        <v>1</v>
      </c>
      <c r="J50" s="13">
        <v>10</v>
      </c>
    </row>
    <row r="51" spans="2:10" ht="15.75" customHeight="1">
      <c r="B51" s="19">
        <v>11</v>
      </c>
      <c r="C51" s="60" t="s">
        <v>57</v>
      </c>
      <c r="D51" s="61"/>
      <c r="E51" s="61"/>
      <c r="F51" s="61"/>
      <c r="G51" s="62"/>
      <c r="H51" s="12">
        <f t="shared" si="7"/>
        <v>0</v>
      </c>
      <c r="I51" s="45">
        <v>1</v>
      </c>
      <c r="J51" s="13">
        <v>10</v>
      </c>
    </row>
    <row r="52" spans="2:10" ht="15.75" customHeight="1">
      <c r="B52" s="19">
        <v>12</v>
      </c>
      <c r="C52" s="79" t="s">
        <v>58</v>
      </c>
      <c r="D52" s="80"/>
      <c r="E52" s="80"/>
      <c r="F52" s="80"/>
      <c r="G52" s="80"/>
      <c r="H52" s="12">
        <f t="shared" si="7"/>
        <v>0</v>
      </c>
      <c r="I52" s="45">
        <v>0.5</v>
      </c>
      <c r="J52" s="13">
        <v>10</v>
      </c>
    </row>
    <row r="53" spans="2:10" ht="15.75" customHeight="1">
      <c r="B53" s="19">
        <v>13</v>
      </c>
      <c r="C53" s="60" t="s">
        <v>59</v>
      </c>
      <c r="D53" s="61"/>
      <c r="E53" s="61"/>
      <c r="F53" s="61"/>
      <c r="G53" s="62"/>
      <c r="H53" s="12">
        <f t="shared" si="7"/>
        <v>0</v>
      </c>
      <c r="I53" s="45"/>
      <c r="J53" s="13"/>
    </row>
    <row r="54" spans="2:10" ht="15" customHeight="1">
      <c r="B54" s="19">
        <v>14</v>
      </c>
      <c r="C54" s="60" t="s">
        <v>59</v>
      </c>
      <c r="D54" s="61"/>
      <c r="E54" s="61"/>
      <c r="F54" s="61"/>
      <c r="G54" s="62"/>
      <c r="H54" s="12">
        <f t="shared" si="7"/>
        <v>0</v>
      </c>
      <c r="I54" s="45"/>
      <c r="J54" s="13"/>
    </row>
    <row r="55" spans="2:10">
      <c r="B55" s="19">
        <v>15</v>
      </c>
      <c r="C55" s="79"/>
      <c r="D55" s="80"/>
      <c r="E55" s="80"/>
      <c r="F55" s="80"/>
      <c r="G55" s="80"/>
      <c r="H55" s="12">
        <f t="shared" si="7"/>
        <v>0</v>
      </c>
      <c r="I55" s="45"/>
      <c r="J55" s="13"/>
    </row>
    <row r="56" spans="2:10">
      <c r="B56" s="19">
        <v>16</v>
      </c>
      <c r="C56" s="81"/>
      <c r="D56" s="82"/>
      <c r="E56" s="82"/>
      <c r="F56" s="82"/>
      <c r="G56" s="82"/>
      <c r="H56" s="12">
        <f t="shared" si="7"/>
        <v>0</v>
      </c>
      <c r="I56" s="45"/>
      <c r="J56" s="13"/>
    </row>
    <row r="57" spans="2:10">
      <c r="B57" s="19">
        <v>17</v>
      </c>
      <c r="C57" s="81"/>
      <c r="D57" s="82"/>
      <c r="E57" s="82"/>
      <c r="F57" s="82"/>
      <c r="G57" s="82"/>
      <c r="H57" s="12">
        <f t="shared" si="7"/>
        <v>0</v>
      </c>
      <c r="I57" s="45"/>
      <c r="J57" s="13"/>
    </row>
    <row r="58" spans="2:10">
      <c r="B58" s="19">
        <v>18</v>
      </c>
      <c r="C58" s="81"/>
      <c r="D58" s="82"/>
      <c r="E58" s="82"/>
      <c r="F58" s="82"/>
      <c r="G58" s="82"/>
      <c r="H58" s="12">
        <f t="shared" si="7"/>
        <v>0</v>
      </c>
      <c r="I58" s="45"/>
      <c r="J58" s="13"/>
    </row>
    <row r="59" spans="2:10">
      <c r="B59" s="19">
        <v>19</v>
      </c>
      <c r="C59" s="81"/>
      <c r="D59" s="82"/>
      <c r="E59" s="82"/>
      <c r="F59" s="82"/>
      <c r="G59" s="82"/>
      <c r="H59" s="12">
        <f t="shared" si="7"/>
        <v>0</v>
      </c>
      <c r="I59" s="45"/>
      <c r="J59" s="13"/>
    </row>
    <row r="60" spans="2:10">
      <c r="B60" s="19">
        <v>20</v>
      </c>
      <c r="C60" s="81"/>
      <c r="D60" s="82"/>
      <c r="E60" s="82"/>
      <c r="F60" s="82"/>
      <c r="G60" s="82"/>
      <c r="H60" s="12">
        <f t="shared" si="7"/>
        <v>0</v>
      </c>
      <c r="I60" s="45"/>
      <c r="J60" s="13"/>
    </row>
    <row r="61" spans="2:10">
      <c r="B61" s="19">
        <v>21</v>
      </c>
      <c r="C61" s="81"/>
      <c r="D61" s="82"/>
      <c r="E61" s="82"/>
      <c r="F61" s="82"/>
      <c r="G61" s="82"/>
      <c r="H61" s="12">
        <f t="shared" si="7"/>
        <v>0</v>
      </c>
      <c r="I61" s="45"/>
      <c r="J61" s="13"/>
    </row>
    <row r="62" spans="2:10">
      <c r="B62" s="19">
        <v>22</v>
      </c>
      <c r="C62" s="81"/>
      <c r="D62" s="82"/>
      <c r="E62" s="82"/>
      <c r="F62" s="82"/>
      <c r="G62" s="82"/>
      <c r="H62" s="12">
        <f t="shared" si="7"/>
        <v>0</v>
      </c>
      <c r="I62" s="45"/>
      <c r="J62" s="13"/>
    </row>
    <row r="63" spans="2:10">
      <c r="B63" s="19">
        <v>23</v>
      </c>
      <c r="C63" s="81"/>
      <c r="D63" s="82"/>
      <c r="E63" s="82"/>
      <c r="F63" s="82"/>
      <c r="G63" s="82"/>
      <c r="H63" s="12">
        <f t="shared" si="7"/>
        <v>0</v>
      </c>
      <c r="I63" s="45"/>
      <c r="J63" s="13"/>
    </row>
    <row r="64" spans="2:10">
      <c r="B64" s="19">
        <v>24</v>
      </c>
      <c r="C64" s="81"/>
      <c r="D64" s="82"/>
      <c r="E64" s="82"/>
      <c r="F64" s="82"/>
      <c r="G64" s="82"/>
      <c r="H64" s="12">
        <f t="shared" si="7"/>
        <v>0</v>
      </c>
      <c r="I64" s="45"/>
      <c r="J64" s="13"/>
    </row>
    <row r="65" spans="2:10">
      <c r="B65" s="19">
        <v>25</v>
      </c>
      <c r="C65" s="81"/>
      <c r="D65" s="82"/>
      <c r="E65" s="82"/>
      <c r="F65" s="82"/>
      <c r="G65" s="82"/>
      <c r="H65" s="12">
        <f t="shared" si="7"/>
        <v>0</v>
      </c>
      <c r="I65" s="45"/>
      <c r="J65" s="13"/>
    </row>
    <row r="66" spans="2:10">
      <c r="B66" s="19">
        <v>26</v>
      </c>
      <c r="C66" s="81"/>
      <c r="D66" s="82"/>
      <c r="E66" s="82"/>
      <c r="F66" s="82"/>
      <c r="G66" s="82"/>
      <c r="H66" s="12">
        <f t="shared" si="7"/>
        <v>0</v>
      </c>
      <c r="I66" s="45"/>
      <c r="J66" s="13"/>
    </row>
    <row r="67" spans="2:10">
      <c r="B67" s="19">
        <v>27</v>
      </c>
      <c r="C67" s="81"/>
      <c r="D67" s="82"/>
      <c r="E67" s="82"/>
      <c r="F67" s="82"/>
      <c r="G67" s="82"/>
      <c r="H67" s="12">
        <f t="shared" si="7"/>
        <v>0</v>
      </c>
      <c r="I67" s="45"/>
      <c r="J67" s="13"/>
    </row>
    <row r="68" spans="2:10">
      <c r="B68" s="19">
        <v>28</v>
      </c>
      <c r="C68" s="81"/>
      <c r="D68" s="82"/>
      <c r="E68" s="82"/>
      <c r="F68" s="82"/>
      <c r="G68" s="82"/>
      <c r="H68" s="12">
        <f t="shared" si="7"/>
        <v>0</v>
      </c>
      <c r="I68" s="45"/>
      <c r="J68" s="13"/>
    </row>
    <row r="69" spans="2:10">
      <c r="B69" s="19">
        <v>29</v>
      </c>
      <c r="C69" s="81"/>
      <c r="D69" s="82"/>
      <c r="E69" s="82"/>
      <c r="F69" s="82"/>
      <c r="G69" s="82"/>
      <c r="H69" s="12">
        <f t="shared" si="7"/>
        <v>0</v>
      </c>
      <c r="I69" s="45"/>
      <c r="J69" s="13"/>
    </row>
    <row r="70" spans="2:10">
      <c r="B70" s="19">
        <v>30</v>
      </c>
      <c r="C70" s="81"/>
      <c r="D70" s="82"/>
      <c r="E70" s="82"/>
      <c r="F70" s="82"/>
      <c r="G70" s="82"/>
      <c r="H70" s="12">
        <f t="shared" si="7"/>
        <v>0</v>
      </c>
      <c r="I70" s="45"/>
      <c r="J70" s="13"/>
    </row>
    <row r="71" spans="2:10">
      <c r="B71" s="19">
        <v>31</v>
      </c>
      <c r="C71" s="81"/>
      <c r="D71" s="90"/>
      <c r="E71" s="90"/>
      <c r="F71" s="90"/>
      <c r="G71" s="90"/>
      <c r="H71" s="12">
        <f t="shared" si="7"/>
        <v>0</v>
      </c>
      <c r="I71" s="45"/>
      <c r="J71" s="13"/>
    </row>
    <row r="72" spans="2:10">
      <c r="B72" s="19">
        <v>32</v>
      </c>
      <c r="C72" s="81"/>
      <c r="D72" s="90"/>
      <c r="E72" s="90"/>
      <c r="F72" s="90"/>
      <c r="G72" s="90"/>
      <c r="H72" s="12">
        <f t="shared" si="7"/>
        <v>0</v>
      </c>
      <c r="I72" s="45"/>
      <c r="J72" s="13"/>
    </row>
    <row r="73" spans="2:10">
      <c r="B73" s="19">
        <v>33</v>
      </c>
      <c r="C73" s="81"/>
      <c r="D73" s="90"/>
      <c r="E73" s="90"/>
      <c r="F73" s="90"/>
      <c r="G73" s="90"/>
      <c r="H73" s="12">
        <f t="shared" si="7"/>
        <v>0</v>
      </c>
      <c r="I73" s="45"/>
      <c r="J73" s="13"/>
    </row>
    <row r="74" spans="2:10">
      <c r="B74" s="19">
        <v>34</v>
      </c>
      <c r="C74" s="91"/>
      <c r="D74" s="92"/>
      <c r="E74" s="92"/>
      <c r="F74" s="92"/>
      <c r="G74" s="92"/>
      <c r="H74" s="12">
        <f t="shared" si="7"/>
        <v>0</v>
      </c>
      <c r="I74" s="45"/>
      <c r="J74" s="13"/>
    </row>
    <row r="75" spans="2:10">
      <c r="B75" s="20">
        <v>35</v>
      </c>
      <c r="C75" s="89"/>
      <c r="D75" s="89"/>
      <c r="E75" s="89"/>
      <c r="F75" s="89"/>
      <c r="G75" s="89"/>
      <c r="H75" s="12">
        <f t="shared" si="7"/>
        <v>0</v>
      </c>
      <c r="I75" s="45"/>
      <c r="J75" s="13"/>
    </row>
    <row r="76" spans="2:10">
      <c r="B76" s="20">
        <v>36</v>
      </c>
      <c r="C76" s="89"/>
      <c r="D76" s="89"/>
      <c r="E76" s="89"/>
      <c r="F76" s="89"/>
      <c r="G76" s="89"/>
      <c r="H76" s="12">
        <f t="shared" si="7"/>
        <v>0</v>
      </c>
      <c r="I76" s="45"/>
      <c r="J76" s="13"/>
    </row>
    <row r="77" spans="2:10">
      <c r="B77" s="20">
        <v>38</v>
      </c>
      <c r="C77" s="89"/>
      <c r="D77" s="89"/>
      <c r="E77" s="89"/>
      <c r="F77" s="89"/>
      <c r="G77" s="89"/>
      <c r="H77" s="12">
        <f t="shared" si="7"/>
        <v>0</v>
      </c>
      <c r="I77" s="45"/>
      <c r="J77" s="13"/>
    </row>
    <row r="78" spans="2:10">
      <c r="B78" s="20">
        <v>39</v>
      </c>
      <c r="C78" s="89"/>
      <c r="D78" s="89"/>
      <c r="E78" s="89"/>
      <c r="F78" s="89"/>
      <c r="G78" s="89"/>
      <c r="H78" s="12">
        <f t="shared" si="7"/>
        <v>0</v>
      </c>
      <c r="I78" s="45"/>
      <c r="J78" s="13"/>
    </row>
    <row r="79" spans="2:10">
      <c r="B79" s="20">
        <v>40</v>
      </c>
      <c r="C79" s="89"/>
      <c r="D79" s="89"/>
      <c r="E79" s="89"/>
      <c r="F79" s="89"/>
      <c r="G79" s="89"/>
      <c r="H79" s="12">
        <f t="shared" si="7"/>
        <v>0</v>
      </c>
      <c r="I79" s="45"/>
      <c r="J79" s="13"/>
    </row>
    <row r="80" spans="2:10" ht="26.1">
      <c r="B80" s="46"/>
      <c r="C80" s="21"/>
      <c r="D80" s="21"/>
      <c r="E80" s="21"/>
      <c r="F80" s="21"/>
      <c r="G80" s="22" t="s">
        <v>60</v>
      </c>
      <c r="H80" s="58">
        <f>SUM(H41:H79)</f>
        <v>0</v>
      </c>
      <c r="I80" s="47" t="s">
        <v>61</v>
      </c>
    </row>
    <row r="81" spans="1:9">
      <c r="B81" s="20"/>
      <c r="C81" s="16"/>
      <c r="D81" s="16"/>
      <c r="E81" s="16"/>
      <c r="F81" s="16"/>
      <c r="G81" s="16"/>
      <c r="H81" s="16"/>
      <c r="I81" s="34"/>
    </row>
    <row r="82" spans="1:9">
      <c r="B82" s="48"/>
      <c r="C82" s="30"/>
      <c r="D82" s="30"/>
      <c r="E82" s="30"/>
      <c r="F82" s="30"/>
      <c r="G82" s="30"/>
      <c r="H82" s="30"/>
      <c r="I82" s="34"/>
    </row>
    <row r="83" spans="1:9" ht="30.95">
      <c r="A83" s="32"/>
      <c r="B83" s="72" t="s">
        <v>62</v>
      </c>
      <c r="C83" s="73"/>
      <c r="D83" s="73"/>
      <c r="E83" s="73"/>
      <c r="F83" s="73"/>
      <c r="G83" s="73"/>
      <c r="H83" s="73"/>
      <c r="I83" s="4"/>
    </row>
    <row r="84" spans="1:9">
      <c r="A84" s="32"/>
      <c r="B84" s="49" t="s">
        <v>63</v>
      </c>
      <c r="C84" s="11" t="s">
        <v>5</v>
      </c>
      <c r="D84" s="11" t="s">
        <v>64</v>
      </c>
      <c r="E84" s="11" t="s">
        <v>65</v>
      </c>
      <c r="F84" s="94" t="s">
        <v>66</v>
      </c>
      <c r="G84" s="94"/>
      <c r="H84" s="94"/>
      <c r="I84" s="50" t="s">
        <v>67</v>
      </c>
    </row>
    <row r="85" spans="1:9">
      <c r="A85" s="32"/>
      <c r="B85" s="51">
        <v>1</v>
      </c>
      <c r="C85" s="31">
        <v>1</v>
      </c>
      <c r="D85" s="16" t="s">
        <v>68</v>
      </c>
      <c r="E85" s="10" t="s">
        <v>69</v>
      </c>
      <c r="F85" s="95" t="s">
        <v>70</v>
      </c>
      <c r="G85" s="95"/>
      <c r="H85" s="95"/>
      <c r="I85" s="52" t="s">
        <v>71</v>
      </c>
    </row>
    <row r="86" spans="1:9">
      <c r="A86" s="32"/>
      <c r="B86" s="51">
        <v>2</v>
      </c>
      <c r="C86" s="31">
        <v>1</v>
      </c>
      <c r="D86" s="16" t="s">
        <v>68</v>
      </c>
      <c r="E86" s="10" t="s">
        <v>69</v>
      </c>
      <c r="F86" s="59" t="s">
        <v>72</v>
      </c>
      <c r="G86" s="59"/>
      <c r="H86" s="59"/>
      <c r="I86" s="52" t="s">
        <v>73</v>
      </c>
    </row>
    <row r="87" spans="1:9">
      <c r="A87" s="32"/>
      <c r="B87" s="51">
        <v>3</v>
      </c>
      <c r="C87" s="31">
        <v>1</v>
      </c>
      <c r="D87" s="16" t="s">
        <v>68</v>
      </c>
      <c r="E87" s="10" t="s">
        <v>69</v>
      </c>
      <c r="F87" s="59" t="s">
        <v>74</v>
      </c>
      <c r="G87" s="59"/>
      <c r="H87" s="59"/>
      <c r="I87" s="52" t="s">
        <v>75</v>
      </c>
    </row>
    <row r="88" spans="1:9">
      <c r="A88" s="32"/>
      <c r="B88" s="51">
        <v>4</v>
      </c>
      <c r="C88" s="31">
        <v>1</v>
      </c>
      <c r="D88" s="16" t="s">
        <v>68</v>
      </c>
      <c r="E88" s="10" t="s">
        <v>69</v>
      </c>
      <c r="F88" s="59" t="s">
        <v>76</v>
      </c>
      <c r="G88" s="59"/>
      <c r="H88" s="59"/>
      <c r="I88" s="52" t="s">
        <v>77</v>
      </c>
    </row>
    <row r="89" spans="1:9">
      <c r="A89" s="32"/>
      <c r="B89" s="51">
        <v>5</v>
      </c>
      <c r="C89" s="31">
        <v>2</v>
      </c>
      <c r="D89" s="16" t="s">
        <v>68</v>
      </c>
      <c r="E89" s="10" t="s">
        <v>69</v>
      </c>
      <c r="F89" s="59" t="s">
        <v>78</v>
      </c>
      <c r="G89" s="59"/>
      <c r="H89" s="59"/>
      <c r="I89" s="52" t="s">
        <v>79</v>
      </c>
    </row>
    <row r="90" spans="1:9">
      <c r="A90" s="32"/>
      <c r="B90" s="51">
        <v>6</v>
      </c>
      <c r="C90" s="31">
        <v>2</v>
      </c>
      <c r="D90" s="16" t="s">
        <v>68</v>
      </c>
      <c r="E90" s="10" t="s">
        <v>69</v>
      </c>
      <c r="F90" s="59" t="s">
        <v>80</v>
      </c>
      <c r="G90" s="59"/>
      <c r="H90" s="59"/>
      <c r="I90" s="52" t="s">
        <v>81</v>
      </c>
    </row>
    <row r="91" spans="1:9">
      <c r="A91" s="32"/>
      <c r="B91" s="51">
        <v>7</v>
      </c>
      <c r="C91" s="31">
        <v>2</v>
      </c>
      <c r="D91" s="16" t="s">
        <v>68</v>
      </c>
      <c r="E91" s="10" t="s">
        <v>69</v>
      </c>
      <c r="F91" s="59" t="s">
        <v>82</v>
      </c>
      <c r="G91" s="59"/>
      <c r="H91" s="59"/>
      <c r="I91" s="52" t="s">
        <v>83</v>
      </c>
    </row>
    <row r="92" spans="1:9">
      <c r="A92" s="32"/>
      <c r="B92" s="51">
        <v>8</v>
      </c>
      <c r="C92" s="31">
        <v>2</v>
      </c>
      <c r="D92" s="16" t="s">
        <v>68</v>
      </c>
      <c r="E92" s="10" t="s">
        <v>69</v>
      </c>
      <c r="F92" s="59" t="s">
        <v>84</v>
      </c>
      <c r="G92" s="59"/>
      <c r="H92" s="59"/>
      <c r="I92" s="52" t="s">
        <v>85</v>
      </c>
    </row>
    <row r="93" spans="1:9">
      <c r="A93" s="32"/>
      <c r="B93" s="51">
        <v>9</v>
      </c>
      <c r="C93" s="31">
        <v>3</v>
      </c>
      <c r="D93" s="16" t="s">
        <v>68</v>
      </c>
      <c r="E93" s="10" t="s">
        <v>69</v>
      </c>
      <c r="F93" s="59" t="s">
        <v>86</v>
      </c>
      <c r="G93" s="59"/>
      <c r="H93" s="59"/>
      <c r="I93" s="52" t="s">
        <v>87</v>
      </c>
    </row>
    <row r="94" spans="1:9">
      <c r="A94" s="32"/>
      <c r="B94" s="51">
        <v>10</v>
      </c>
      <c r="C94" s="31">
        <v>3</v>
      </c>
      <c r="D94" s="16" t="s">
        <v>68</v>
      </c>
      <c r="E94" s="10" t="s">
        <v>69</v>
      </c>
      <c r="F94" s="59" t="s">
        <v>88</v>
      </c>
      <c r="G94" s="59"/>
      <c r="H94" s="59"/>
      <c r="I94" s="52" t="s">
        <v>89</v>
      </c>
    </row>
    <row r="95" spans="1:9">
      <c r="A95" s="32"/>
      <c r="B95" s="51">
        <v>11</v>
      </c>
      <c r="C95" s="31">
        <v>4</v>
      </c>
      <c r="D95" s="16" t="s">
        <v>68</v>
      </c>
      <c r="E95" s="10" t="s">
        <v>69</v>
      </c>
      <c r="F95" s="59" t="s">
        <v>90</v>
      </c>
      <c r="G95" s="59"/>
      <c r="H95" s="59"/>
      <c r="I95" s="52" t="s">
        <v>91</v>
      </c>
    </row>
    <row r="96" spans="1:9">
      <c r="A96" s="32"/>
      <c r="B96" s="51">
        <v>12</v>
      </c>
      <c r="C96" s="31">
        <v>4</v>
      </c>
      <c r="D96" s="16" t="s">
        <v>68</v>
      </c>
      <c r="E96" s="10" t="s">
        <v>69</v>
      </c>
      <c r="F96" s="59" t="s">
        <v>92</v>
      </c>
      <c r="G96" s="59"/>
      <c r="H96" s="59"/>
      <c r="I96" s="52" t="s">
        <v>93</v>
      </c>
    </row>
    <row r="97" spans="1:9">
      <c r="A97" s="32"/>
      <c r="B97" s="51">
        <v>13</v>
      </c>
      <c r="C97" s="31">
        <v>4</v>
      </c>
      <c r="D97" s="16" t="s">
        <v>68</v>
      </c>
      <c r="E97" s="10" t="s">
        <v>69</v>
      </c>
      <c r="F97" s="59" t="s">
        <v>94</v>
      </c>
      <c r="G97" s="59"/>
      <c r="H97" s="59"/>
      <c r="I97" s="52" t="s">
        <v>95</v>
      </c>
    </row>
    <row r="98" spans="1:9">
      <c r="A98" s="32"/>
      <c r="B98" s="51">
        <v>14</v>
      </c>
      <c r="C98" s="31">
        <v>4</v>
      </c>
      <c r="D98" s="16" t="s">
        <v>68</v>
      </c>
      <c r="E98" s="10" t="s">
        <v>69</v>
      </c>
      <c r="F98" s="59" t="s">
        <v>96</v>
      </c>
      <c r="G98" s="59"/>
      <c r="H98" s="59"/>
      <c r="I98" s="52" t="s">
        <v>97</v>
      </c>
    </row>
    <row r="99" spans="1:9">
      <c r="A99" s="32"/>
      <c r="B99" s="51">
        <v>15</v>
      </c>
      <c r="C99" s="31">
        <v>5</v>
      </c>
      <c r="D99" s="16" t="s">
        <v>68</v>
      </c>
      <c r="E99" s="10" t="s">
        <v>69</v>
      </c>
      <c r="F99" s="59" t="s">
        <v>98</v>
      </c>
      <c r="G99" s="59"/>
      <c r="H99" s="59"/>
      <c r="I99" s="52" t="s">
        <v>99</v>
      </c>
    </row>
    <row r="100" spans="1:9">
      <c r="A100" s="32"/>
      <c r="B100" s="51">
        <v>16</v>
      </c>
      <c r="C100" s="31">
        <v>5</v>
      </c>
      <c r="D100" s="16" t="s">
        <v>68</v>
      </c>
      <c r="E100" s="10" t="s">
        <v>69</v>
      </c>
      <c r="F100" s="59" t="s">
        <v>100</v>
      </c>
      <c r="G100" s="59"/>
      <c r="H100" s="59"/>
      <c r="I100" s="52" t="s">
        <v>101</v>
      </c>
    </row>
    <row r="101" spans="1:9">
      <c r="A101" s="32"/>
      <c r="B101" s="51">
        <v>17</v>
      </c>
      <c r="C101" s="31">
        <v>6</v>
      </c>
      <c r="D101" s="16" t="s">
        <v>68</v>
      </c>
      <c r="E101" s="10" t="s">
        <v>69</v>
      </c>
      <c r="F101" s="59" t="s">
        <v>102</v>
      </c>
      <c r="G101" s="59"/>
      <c r="H101" s="59"/>
      <c r="I101" s="52" t="s">
        <v>103</v>
      </c>
    </row>
    <row r="102" spans="1:9">
      <c r="A102" s="32"/>
      <c r="B102" s="51">
        <v>18</v>
      </c>
      <c r="C102" s="31">
        <v>6</v>
      </c>
      <c r="D102" s="16" t="s">
        <v>68</v>
      </c>
      <c r="E102" s="10" t="s">
        <v>69</v>
      </c>
      <c r="F102" s="59" t="s">
        <v>104</v>
      </c>
      <c r="G102" s="59"/>
      <c r="H102" s="59"/>
      <c r="I102" s="52" t="s">
        <v>105</v>
      </c>
    </row>
    <row r="103" spans="1:9">
      <c r="A103" s="32"/>
      <c r="B103" s="51">
        <v>19</v>
      </c>
      <c r="C103" s="31">
        <v>7</v>
      </c>
      <c r="D103" s="16" t="s">
        <v>68</v>
      </c>
      <c r="E103" s="10" t="s">
        <v>69</v>
      </c>
      <c r="F103" s="59" t="s">
        <v>106</v>
      </c>
      <c r="G103" s="59"/>
      <c r="H103" s="59"/>
      <c r="I103" s="52" t="s">
        <v>107</v>
      </c>
    </row>
    <row r="104" spans="1:9">
      <c r="A104" s="32"/>
      <c r="B104" s="51">
        <v>20</v>
      </c>
      <c r="C104" s="31">
        <v>7</v>
      </c>
      <c r="D104" s="16" t="s">
        <v>68</v>
      </c>
      <c r="E104" s="10" t="s">
        <v>69</v>
      </c>
      <c r="F104" s="59" t="s">
        <v>108</v>
      </c>
      <c r="G104" s="59"/>
      <c r="H104" s="59"/>
      <c r="I104" s="52" t="s">
        <v>109</v>
      </c>
    </row>
    <row r="105" spans="1:9">
      <c r="A105" s="32"/>
      <c r="B105" s="51">
        <v>21</v>
      </c>
      <c r="C105" s="31">
        <v>7</v>
      </c>
      <c r="D105" s="16" t="s">
        <v>68</v>
      </c>
      <c r="E105" s="10" t="s">
        <v>69</v>
      </c>
      <c r="F105" s="59" t="s">
        <v>110</v>
      </c>
      <c r="G105" s="59"/>
      <c r="H105" s="59"/>
      <c r="I105" s="52" t="s">
        <v>111</v>
      </c>
    </row>
    <row r="106" spans="1:9">
      <c r="A106" s="32"/>
      <c r="B106" s="51">
        <v>22</v>
      </c>
      <c r="C106" s="31">
        <v>8</v>
      </c>
      <c r="D106" s="16" t="s">
        <v>68</v>
      </c>
      <c r="E106" s="10" t="s">
        <v>69</v>
      </c>
      <c r="F106" s="59" t="s">
        <v>112</v>
      </c>
      <c r="G106" s="59"/>
      <c r="H106" s="59"/>
      <c r="I106" s="52" t="s">
        <v>113</v>
      </c>
    </row>
    <row r="107" spans="1:9">
      <c r="A107" s="32"/>
      <c r="B107" s="51">
        <v>23</v>
      </c>
      <c r="C107" s="31">
        <v>9</v>
      </c>
      <c r="D107" s="16" t="s">
        <v>68</v>
      </c>
      <c r="E107" s="10" t="s">
        <v>69</v>
      </c>
      <c r="F107" s="59" t="s">
        <v>114</v>
      </c>
      <c r="G107" s="59"/>
      <c r="H107" s="59"/>
      <c r="I107" s="52" t="s">
        <v>115</v>
      </c>
    </row>
    <row r="108" spans="1:9">
      <c r="A108" s="32"/>
      <c r="B108" s="51">
        <v>24</v>
      </c>
      <c r="C108" s="31">
        <v>9</v>
      </c>
      <c r="D108" s="16" t="s">
        <v>68</v>
      </c>
      <c r="E108" s="10" t="s">
        <v>69</v>
      </c>
      <c r="F108" s="59" t="s">
        <v>116</v>
      </c>
      <c r="G108" s="59"/>
      <c r="H108" s="59"/>
      <c r="I108" s="52" t="s">
        <v>117</v>
      </c>
    </row>
    <row r="109" spans="1:9">
      <c r="A109" s="32"/>
      <c r="B109" s="51">
        <v>25</v>
      </c>
      <c r="C109" s="31">
        <v>9</v>
      </c>
      <c r="D109" s="16" t="s">
        <v>68</v>
      </c>
      <c r="E109" s="10" t="s">
        <v>69</v>
      </c>
      <c r="F109" s="59" t="s">
        <v>118</v>
      </c>
      <c r="G109" s="59"/>
      <c r="H109" s="59"/>
      <c r="I109" s="52" t="s">
        <v>119</v>
      </c>
    </row>
    <row r="110" spans="1:9">
      <c r="A110" s="32"/>
      <c r="B110" s="51">
        <v>26</v>
      </c>
      <c r="C110" s="31">
        <v>10</v>
      </c>
      <c r="D110" s="16" t="s">
        <v>68</v>
      </c>
      <c r="E110" s="10" t="s">
        <v>69</v>
      </c>
      <c r="F110" s="59" t="s">
        <v>120</v>
      </c>
      <c r="G110" s="59"/>
      <c r="H110" s="59"/>
      <c r="I110" s="52" t="s">
        <v>121</v>
      </c>
    </row>
    <row r="111" spans="1:9">
      <c r="A111" s="32"/>
      <c r="B111" s="51">
        <v>27</v>
      </c>
      <c r="C111" s="31">
        <v>10</v>
      </c>
      <c r="D111" s="16" t="s">
        <v>68</v>
      </c>
      <c r="E111" s="10" t="s">
        <v>69</v>
      </c>
      <c r="F111" s="59" t="s">
        <v>122</v>
      </c>
      <c r="G111" s="59"/>
      <c r="H111" s="59"/>
      <c r="I111" s="52" t="s">
        <v>123</v>
      </c>
    </row>
    <row r="112" spans="1:9">
      <c r="A112" s="32"/>
      <c r="B112" s="51">
        <v>28</v>
      </c>
      <c r="C112" s="31">
        <v>11</v>
      </c>
      <c r="D112" s="16" t="s">
        <v>68</v>
      </c>
      <c r="E112" s="10" t="s">
        <v>69</v>
      </c>
      <c r="F112" s="59" t="s">
        <v>124</v>
      </c>
      <c r="G112" s="59"/>
      <c r="H112" s="59"/>
      <c r="I112" s="52" t="s">
        <v>125</v>
      </c>
    </row>
    <row r="113" spans="1:9">
      <c r="A113" s="32"/>
      <c r="B113" s="51">
        <v>29</v>
      </c>
      <c r="C113" s="31">
        <v>12</v>
      </c>
      <c r="D113" s="16" t="s">
        <v>68</v>
      </c>
      <c r="E113" s="10" t="s">
        <v>69</v>
      </c>
      <c r="F113" s="59" t="s">
        <v>126</v>
      </c>
      <c r="G113" s="59"/>
      <c r="H113" s="59"/>
      <c r="I113" s="52" t="s">
        <v>127</v>
      </c>
    </row>
    <row r="114" spans="1:9">
      <c r="A114" s="32"/>
      <c r="B114" s="51">
        <v>30</v>
      </c>
      <c r="C114" s="31">
        <v>13</v>
      </c>
      <c r="D114" s="16" t="s">
        <v>68</v>
      </c>
      <c r="E114" s="10" t="s">
        <v>69</v>
      </c>
      <c r="F114" s="59" t="s">
        <v>128</v>
      </c>
      <c r="G114" s="59"/>
      <c r="H114" s="59"/>
      <c r="I114" s="52" t="s">
        <v>129</v>
      </c>
    </row>
    <row r="115" spans="1:9" ht="15.75">
      <c r="A115" s="32"/>
      <c r="B115" s="51">
        <v>31</v>
      </c>
      <c r="C115" s="31">
        <v>13</v>
      </c>
      <c r="D115" s="16" t="s">
        <v>68</v>
      </c>
      <c r="E115" s="10" t="s">
        <v>69</v>
      </c>
      <c r="F115" s="63" t="s">
        <v>130</v>
      </c>
      <c r="G115" s="59"/>
      <c r="H115" s="59"/>
      <c r="I115" s="52" t="s">
        <v>131</v>
      </c>
    </row>
    <row r="116" spans="1:9">
      <c r="A116" s="32"/>
      <c r="B116" s="51">
        <v>32</v>
      </c>
      <c r="C116" s="31">
        <v>14</v>
      </c>
      <c r="D116" s="16" t="s">
        <v>68</v>
      </c>
      <c r="E116" s="10" t="s">
        <v>69</v>
      </c>
      <c r="F116" s="59" t="s">
        <v>132</v>
      </c>
      <c r="G116" s="59"/>
      <c r="H116" s="59"/>
      <c r="I116" s="52" t="s">
        <v>133</v>
      </c>
    </row>
    <row r="117" spans="1:9">
      <c r="A117" s="32"/>
      <c r="B117" s="51">
        <v>33</v>
      </c>
      <c r="C117" s="31">
        <v>14</v>
      </c>
      <c r="D117" s="16" t="s">
        <v>68</v>
      </c>
      <c r="E117" s="10" t="s">
        <v>69</v>
      </c>
      <c r="F117" s="59" t="s">
        <v>134</v>
      </c>
      <c r="G117" s="59"/>
      <c r="H117" s="59"/>
      <c r="I117" s="52" t="s">
        <v>135</v>
      </c>
    </row>
    <row r="118" spans="1:9">
      <c r="A118" s="32"/>
      <c r="B118" s="51">
        <v>34</v>
      </c>
      <c r="C118" s="31">
        <v>15</v>
      </c>
      <c r="D118" s="16" t="s">
        <v>68</v>
      </c>
      <c r="E118" s="10" t="s">
        <v>69</v>
      </c>
      <c r="F118" s="59" t="s">
        <v>136</v>
      </c>
      <c r="G118" s="59"/>
      <c r="H118" s="59"/>
      <c r="I118" s="52" t="s">
        <v>137</v>
      </c>
    </row>
    <row r="119" spans="1:9">
      <c r="A119" s="32"/>
      <c r="B119" s="51">
        <v>35</v>
      </c>
      <c r="C119" s="31">
        <v>15</v>
      </c>
      <c r="D119" s="16" t="s">
        <v>68</v>
      </c>
      <c r="E119" s="10" t="s">
        <v>69</v>
      </c>
      <c r="F119" s="59" t="s">
        <v>138</v>
      </c>
      <c r="G119" s="59"/>
      <c r="H119" s="59"/>
      <c r="I119" s="52" t="s">
        <v>139</v>
      </c>
    </row>
    <row r="120" spans="1:9">
      <c r="A120" s="32"/>
      <c r="B120" s="51">
        <v>36</v>
      </c>
      <c r="C120" s="31">
        <v>16</v>
      </c>
      <c r="D120" s="16" t="s">
        <v>68</v>
      </c>
      <c r="E120" s="10" t="s">
        <v>69</v>
      </c>
      <c r="F120" s="59" t="s">
        <v>140</v>
      </c>
      <c r="G120" s="59"/>
      <c r="H120" s="59"/>
      <c r="I120" s="52" t="s">
        <v>141</v>
      </c>
    </row>
    <row r="121" spans="1:9">
      <c r="A121" s="32"/>
      <c r="B121" s="51">
        <v>37</v>
      </c>
      <c r="C121" s="31">
        <v>17</v>
      </c>
      <c r="D121" s="16" t="s">
        <v>68</v>
      </c>
      <c r="E121" s="10" t="s">
        <v>69</v>
      </c>
      <c r="F121" s="59" t="s">
        <v>142</v>
      </c>
      <c r="G121" s="59"/>
      <c r="H121" s="59"/>
      <c r="I121" s="52" t="s">
        <v>143</v>
      </c>
    </row>
    <row r="122" spans="1:9">
      <c r="A122" s="32"/>
      <c r="B122" s="51">
        <v>38</v>
      </c>
      <c r="C122" s="31">
        <v>17</v>
      </c>
      <c r="D122" s="16" t="s">
        <v>68</v>
      </c>
      <c r="E122" s="10" t="s">
        <v>69</v>
      </c>
      <c r="F122" s="59" t="s">
        <v>144</v>
      </c>
      <c r="G122" s="59"/>
      <c r="H122" s="59"/>
      <c r="I122" s="52" t="s">
        <v>145</v>
      </c>
    </row>
    <row r="123" spans="1:9">
      <c r="A123" s="32"/>
      <c r="B123" s="51">
        <v>39</v>
      </c>
      <c r="C123" s="31">
        <v>18</v>
      </c>
      <c r="D123" s="16" t="s">
        <v>68</v>
      </c>
      <c r="E123" s="10" t="s">
        <v>69</v>
      </c>
      <c r="F123" s="59" t="s">
        <v>146</v>
      </c>
      <c r="G123" s="59"/>
      <c r="H123" s="59"/>
      <c r="I123" s="52" t="s">
        <v>147</v>
      </c>
    </row>
    <row r="124" spans="1:9">
      <c r="A124" s="32"/>
      <c r="B124" s="51">
        <v>40</v>
      </c>
      <c r="C124" s="31">
        <v>19</v>
      </c>
      <c r="D124" s="16" t="s">
        <v>68</v>
      </c>
      <c r="E124" s="10" t="s">
        <v>69</v>
      </c>
      <c r="F124" s="59" t="s">
        <v>148</v>
      </c>
      <c r="G124" s="59"/>
      <c r="H124" s="59"/>
      <c r="I124" s="52" t="s">
        <v>149</v>
      </c>
    </row>
    <row r="125" spans="1:9">
      <c r="A125" s="32"/>
      <c r="B125" s="51">
        <v>41</v>
      </c>
      <c r="C125" s="31">
        <v>19</v>
      </c>
      <c r="D125" s="16" t="s">
        <v>68</v>
      </c>
      <c r="E125" s="10" t="s">
        <v>69</v>
      </c>
      <c r="F125" s="59" t="s">
        <v>150</v>
      </c>
      <c r="G125" s="59"/>
      <c r="H125" s="59"/>
      <c r="I125" s="52" t="s">
        <v>151</v>
      </c>
    </row>
    <row r="126" spans="1:9">
      <c r="A126" s="32"/>
      <c r="B126" s="51">
        <v>42</v>
      </c>
      <c r="C126" s="31">
        <v>21</v>
      </c>
      <c r="D126" s="16" t="s">
        <v>152</v>
      </c>
      <c r="E126" s="10" t="s">
        <v>69</v>
      </c>
      <c r="F126" s="59" t="s">
        <v>153</v>
      </c>
      <c r="G126" s="59"/>
      <c r="H126" s="59"/>
      <c r="I126" s="52" t="s">
        <v>154</v>
      </c>
    </row>
    <row r="127" spans="1:9">
      <c r="A127" s="32"/>
      <c r="B127" s="51">
        <v>43</v>
      </c>
      <c r="C127" s="31">
        <v>21</v>
      </c>
      <c r="D127" s="16" t="s">
        <v>152</v>
      </c>
      <c r="E127" s="10" t="s">
        <v>69</v>
      </c>
      <c r="F127" s="59" t="s">
        <v>155</v>
      </c>
      <c r="G127" s="59"/>
      <c r="H127" s="59"/>
      <c r="I127" s="52" t="s">
        <v>156</v>
      </c>
    </row>
    <row r="128" spans="1:9">
      <c r="A128" s="32"/>
      <c r="B128" s="51">
        <v>44</v>
      </c>
      <c r="C128" s="31">
        <v>22</v>
      </c>
      <c r="D128" s="16" t="s">
        <v>152</v>
      </c>
      <c r="E128" s="10" t="s">
        <v>69</v>
      </c>
      <c r="F128" s="59" t="s">
        <v>157</v>
      </c>
      <c r="G128" s="59"/>
      <c r="H128" s="59"/>
      <c r="I128" s="52" t="s">
        <v>158</v>
      </c>
    </row>
    <row r="129" spans="1:12">
      <c r="A129" s="32"/>
      <c r="B129" s="51">
        <v>45</v>
      </c>
      <c r="C129" s="31">
        <v>22</v>
      </c>
      <c r="D129" s="16" t="s">
        <v>152</v>
      </c>
      <c r="E129" s="10" t="s">
        <v>69</v>
      </c>
      <c r="F129" s="59" t="s">
        <v>159</v>
      </c>
      <c r="G129" s="59"/>
      <c r="H129" s="59"/>
      <c r="I129" s="52" t="s">
        <v>160</v>
      </c>
    </row>
    <row r="130" spans="1:12">
      <c r="A130" s="32"/>
      <c r="B130" s="51">
        <v>46</v>
      </c>
      <c r="C130" s="31">
        <v>23</v>
      </c>
      <c r="D130" s="16" t="s">
        <v>152</v>
      </c>
      <c r="E130" s="10" t="s">
        <v>69</v>
      </c>
      <c r="F130" s="59" t="s">
        <v>161</v>
      </c>
      <c r="G130" s="59"/>
      <c r="H130" s="59"/>
      <c r="I130" s="52" t="s">
        <v>162</v>
      </c>
    </row>
    <row r="131" spans="1:12" ht="15.75">
      <c r="A131" s="32"/>
      <c r="B131" s="51">
        <v>47</v>
      </c>
      <c r="C131" s="16"/>
      <c r="D131" s="16" t="s">
        <v>163</v>
      </c>
      <c r="E131" s="10" t="s">
        <v>69</v>
      </c>
      <c r="F131" s="59" t="s">
        <v>164</v>
      </c>
      <c r="G131" s="59"/>
      <c r="H131" s="59"/>
      <c r="I131" s="4" t="s">
        <v>165</v>
      </c>
      <c r="J131" s="27"/>
    </row>
    <row r="132" spans="1:12" ht="15.75">
      <c r="A132" s="32"/>
      <c r="B132" s="51">
        <v>48</v>
      </c>
      <c r="C132" s="16"/>
      <c r="D132" s="16" t="s">
        <v>163</v>
      </c>
      <c r="E132" s="10" t="s">
        <v>69</v>
      </c>
      <c r="F132" s="59" t="s">
        <v>166</v>
      </c>
      <c r="G132" s="59"/>
      <c r="H132" s="59"/>
      <c r="I132" s="4" t="s">
        <v>167</v>
      </c>
      <c r="J132" s="27"/>
      <c r="L132" t="s">
        <v>168</v>
      </c>
    </row>
    <row r="133" spans="1:12">
      <c r="A133" s="32"/>
      <c r="B133" s="51">
        <v>49</v>
      </c>
      <c r="C133" s="16"/>
      <c r="D133" s="16" t="s">
        <v>163</v>
      </c>
      <c r="E133" s="10" t="s">
        <v>169</v>
      </c>
      <c r="F133" s="59"/>
      <c r="G133" s="59"/>
      <c r="H133" s="59"/>
      <c r="I133" s="4"/>
      <c r="J133" s="27"/>
    </row>
    <row r="134" spans="1:12">
      <c r="A134" s="32"/>
      <c r="B134" s="51">
        <v>50</v>
      </c>
      <c r="C134" s="16"/>
      <c r="D134" s="16" t="s">
        <v>163</v>
      </c>
      <c r="E134" s="10" t="s">
        <v>169</v>
      </c>
      <c r="F134" s="59"/>
      <c r="G134" s="59"/>
      <c r="H134" s="59"/>
      <c r="I134" s="4"/>
      <c r="J134" s="27"/>
    </row>
    <row r="135" spans="1:12">
      <c r="A135" s="32"/>
      <c r="B135" s="51">
        <v>51</v>
      </c>
      <c r="C135" s="16"/>
      <c r="D135" s="16" t="s">
        <v>163</v>
      </c>
      <c r="E135" s="10" t="s">
        <v>169</v>
      </c>
      <c r="F135" s="59"/>
      <c r="G135" s="59"/>
      <c r="H135" s="59"/>
      <c r="I135" s="4"/>
      <c r="J135" s="27"/>
    </row>
    <row r="136" spans="1:12">
      <c r="A136" s="32"/>
      <c r="B136" s="51">
        <v>52</v>
      </c>
      <c r="C136" s="16"/>
      <c r="D136" s="16" t="s">
        <v>163</v>
      </c>
      <c r="E136" s="10" t="s">
        <v>169</v>
      </c>
      <c r="F136" s="59"/>
      <c r="G136" s="59"/>
      <c r="H136" s="59"/>
      <c r="I136" s="4" t="s">
        <v>170</v>
      </c>
      <c r="J136" s="27"/>
    </row>
    <row r="137" spans="1:12">
      <c r="A137" s="32"/>
      <c r="B137" s="51">
        <v>53</v>
      </c>
      <c r="C137" s="16"/>
      <c r="D137" s="16" t="s">
        <v>163</v>
      </c>
      <c r="E137" s="10" t="s">
        <v>169</v>
      </c>
      <c r="F137" s="59"/>
      <c r="G137" s="59"/>
      <c r="H137" s="59"/>
      <c r="I137" s="4"/>
      <c r="J137" s="27"/>
    </row>
    <row r="138" spans="1:12">
      <c r="A138" s="32"/>
      <c r="B138" s="51">
        <v>54</v>
      </c>
      <c r="C138" s="16"/>
      <c r="D138" s="16" t="s">
        <v>163</v>
      </c>
      <c r="E138" s="10" t="s">
        <v>169</v>
      </c>
      <c r="F138" s="59"/>
      <c r="G138" s="59"/>
      <c r="H138" s="59"/>
      <c r="I138" s="4"/>
      <c r="J138" s="27"/>
    </row>
    <row r="139" spans="1:12">
      <c r="A139" s="32"/>
      <c r="B139" s="51">
        <v>55</v>
      </c>
      <c r="C139" s="16"/>
      <c r="D139" s="16" t="s">
        <v>163</v>
      </c>
      <c r="E139" s="10" t="s">
        <v>169</v>
      </c>
      <c r="F139" s="59"/>
      <c r="G139" s="59"/>
      <c r="H139" s="59"/>
      <c r="I139" s="4"/>
      <c r="J139" s="27"/>
    </row>
    <row r="140" spans="1:12">
      <c r="A140" s="32"/>
      <c r="B140" s="51">
        <v>56</v>
      </c>
      <c r="C140" s="16"/>
      <c r="D140" s="16" t="s">
        <v>163</v>
      </c>
      <c r="E140" s="10" t="s">
        <v>169</v>
      </c>
      <c r="F140" s="59"/>
      <c r="G140" s="59"/>
      <c r="H140" s="59"/>
      <c r="I140" s="4"/>
      <c r="J140" s="27"/>
    </row>
    <row r="141" spans="1:12">
      <c r="A141" s="32"/>
      <c r="B141" s="51">
        <v>57</v>
      </c>
      <c r="C141" s="16"/>
      <c r="D141" s="16" t="s">
        <v>163</v>
      </c>
      <c r="E141" s="10" t="s">
        <v>169</v>
      </c>
      <c r="F141" s="59"/>
      <c r="G141" s="59"/>
      <c r="H141" s="59"/>
      <c r="I141" s="4"/>
      <c r="J141" s="27"/>
    </row>
    <row r="142" spans="1:12">
      <c r="A142" s="32"/>
      <c r="B142" s="51">
        <v>58</v>
      </c>
      <c r="C142" s="16"/>
      <c r="D142" s="16" t="s">
        <v>163</v>
      </c>
      <c r="E142" s="10" t="s">
        <v>169</v>
      </c>
      <c r="F142" s="59"/>
      <c r="G142" s="59"/>
      <c r="H142" s="59"/>
      <c r="I142" s="4"/>
      <c r="J142" s="27"/>
    </row>
    <row r="143" spans="1:12">
      <c r="A143" s="32"/>
      <c r="B143" s="51">
        <v>59</v>
      </c>
      <c r="C143" s="16"/>
      <c r="D143" s="16" t="s">
        <v>163</v>
      </c>
      <c r="E143" s="10" t="s">
        <v>169</v>
      </c>
      <c r="F143" s="59"/>
      <c r="G143" s="59"/>
      <c r="H143" s="59"/>
      <c r="I143" s="4"/>
      <c r="J143" s="27"/>
    </row>
    <row r="144" spans="1:12" ht="17.100000000000001" thickBot="1">
      <c r="A144" s="32"/>
      <c r="B144" s="53">
        <v>60</v>
      </c>
      <c r="C144" s="54"/>
      <c r="D144" s="54" t="s">
        <v>163</v>
      </c>
      <c r="E144" s="55" t="s">
        <v>169</v>
      </c>
      <c r="F144" s="93"/>
      <c r="G144" s="93"/>
      <c r="H144" s="93"/>
      <c r="I144" s="6"/>
      <c r="J144" s="27"/>
    </row>
  </sheetData>
  <mergeCells count="111">
    <mergeCell ref="C70:G70"/>
    <mergeCell ref="F143:H143"/>
    <mergeCell ref="F144:H144"/>
    <mergeCell ref="F138:H138"/>
    <mergeCell ref="F139:H139"/>
    <mergeCell ref="F140:H140"/>
    <mergeCell ref="F141:H141"/>
    <mergeCell ref="F142:H142"/>
    <mergeCell ref="F132:H132"/>
    <mergeCell ref="F133:H133"/>
    <mergeCell ref="F134:H134"/>
    <mergeCell ref="F136:H136"/>
    <mergeCell ref="F137:H137"/>
    <mergeCell ref="F119:H119"/>
    <mergeCell ref="F84:H84"/>
    <mergeCell ref="F107:H107"/>
    <mergeCell ref="F96:H96"/>
    <mergeCell ref="F85:H85"/>
    <mergeCell ref="F86:H86"/>
    <mergeCell ref="F87:H87"/>
    <mergeCell ref="F88:H88"/>
    <mergeCell ref="F105:H105"/>
    <mergeCell ref="F106:H106"/>
    <mergeCell ref="F97:H97"/>
    <mergeCell ref="B7:H7"/>
    <mergeCell ref="B2:H2"/>
    <mergeCell ref="B3:H3"/>
    <mergeCell ref="B4:H4"/>
    <mergeCell ref="B5:H5"/>
    <mergeCell ref="B6:H6"/>
    <mergeCell ref="C77:G77"/>
    <mergeCell ref="C78:G78"/>
    <mergeCell ref="C79:G79"/>
    <mergeCell ref="C72:G72"/>
    <mergeCell ref="C73:G73"/>
    <mergeCell ref="C74:G74"/>
    <mergeCell ref="C75:G75"/>
    <mergeCell ref="C76:G76"/>
    <mergeCell ref="C56:G56"/>
    <mergeCell ref="C57:G57"/>
    <mergeCell ref="C58:G58"/>
    <mergeCell ref="C59:G59"/>
    <mergeCell ref="C71:G71"/>
    <mergeCell ref="C60:G60"/>
    <mergeCell ref="C61:G61"/>
    <mergeCell ref="C62:G62"/>
    <mergeCell ref="C63:G63"/>
    <mergeCell ref="C64:G64"/>
    <mergeCell ref="B8:H8"/>
    <mergeCell ref="B11:H11"/>
    <mergeCell ref="B39:H39"/>
    <mergeCell ref="B83:H83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50:G50"/>
    <mergeCell ref="C51:G51"/>
    <mergeCell ref="C52:G52"/>
    <mergeCell ref="C53:G53"/>
    <mergeCell ref="C54:G54"/>
    <mergeCell ref="C55:G55"/>
    <mergeCell ref="C65:G65"/>
    <mergeCell ref="C66:G66"/>
    <mergeCell ref="C67:G67"/>
    <mergeCell ref="C68:G68"/>
    <mergeCell ref="C69:G69"/>
    <mergeCell ref="F104:H104"/>
    <mergeCell ref="F98:H98"/>
    <mergeCell ref="F99:H99"/>
    <mergeCell ref="F100:H100"/>
    <mergeCell ref="F101:H101"/>
    <mergeCell ref="F108:H108"/>
    <mergeCell ref="F89:H89"/>
    <mergeCell ref="F90:H90"/>
    <mergeCell ref="F91:H91"/>
    <mergeCell ref="F92:H92"/>
    <mergeCell ref="F93:H93"/>
    <mergeCell ref="F94:H94"/>
    <mergeCell ref="F95:H95"/>
    <mergeCell ref="F102:H102"/>
    <mergeCell ref="F103:H103"/>
    <mergeCell ref="F135:H135"/>
    <mergeCell ref="C49:G49"/>
    <mergeCell ref="F118:H118"/>
    <mergeCell ref="F131:H131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Instrucciones!$A$7:$A$9</xm:f>
          </x14:formula1>
          <xm:sqref>D85:D144</xm:sqref>
        </x14:dataValidation>
        <x14:dataValidation type="list" showInputMessage="1" showErrorMessage="1" xr:uid="{9AD118CD-499E-1142-9514-76C61E9D8D60}">
          <x14:formula1>
            <xm:f>Instrucciones!$A$13:$A$15</xm:f>
          </x14:formula1>
          <xm:sqref>E85:E144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5"/>
  <sheetViews>
    <sheetView workbookViewId="0">
      <selection activeCell="B15" sqref="B15"/>
    </sheetView>
  </sheetViews>
  <sheetFormatPr defaultColWidth="11" defaultRowHeight="15.95"/>
  <cols>
    <col min="1" max="1" width="14" customWidth="1"/>
    <col min="2" max="2" width="51" customWidth="1"/>
  </cols>
  <sheetData>
    <row r="2" spans="1:2">
      <c r="A2" t="s">
        <v>171</v>
      </c>
    </row>
    <row r="3" spans="1:2">
      <c r="A3" t="s">
        <v>172</v>
      </c>
    </row>
    <row r="4" spans="1:2">
      <c r="A4" t="s">
        <v>173</v>
      </c>
    </row>
    <row r="5" spans="1:2" ht="17.100000000000001" thickBot="1"/>
    <row r="6" spans="1:2">
      <c r="A6" s="1" t="s">
        <v>174</v>
      </c>
      <c r="B6" s="2" t="s">
        <v>175</v>
      </c>
    </row>
    <row r="7" spans="1:2">
      <c r="A7" s="3" t="s">
        <v>68</v>
      </c>
      <c r="B7" s="4" t="s">
        <v>176</v>
      </c>
    </row>
    <row r="8" spans="1:2">
      <c r="A8" s="3" t="s">
        <v>152</v>
      </c>
      <c r="B8" s="4" t="s">
        <v>177</v>
      </c>
    </row>
    <row r="9" spans="1:2" ht="17.100000000000001" thickBot="1">
      <c r="A9" s="5" t="s">
        <v>163</v>
      </c>
      <c r="B9" s="6" t="s">
        <v>178</v>
      </c>
    </row>
    <row r="11" spans="1:2" ht="17.100000000000001" thickBot="1"/>
    <row r="12" spans="1:2">
      <c r="A12" s="1" t="s">
        <v>179</v>
      </c>
      <c r="B12" s="2" t="s">
        <v>175</v>
      </c>
    </row>
    <row r="13" spans="1:2">
      <c r="A13" s="3" t="s">
        <v>169</v>
      </c>
      <c r="B13" s="4" t="s">
        <v>180</v>
      </c>
    </row>
    <row r="14" spans="1:2">
      <c r="A14" s="3" t="s">
        <v>69</v>
      </c>
      <c r="B14" s="4" t="s">
        <v>181</v>
      </c>
    </row>
    <row r="15" spans="1:2" ht="17.100000000000001" thickBot="1">
      <c r="A15" s="5" t="s">
        <v>182</v>
      </c>
      <c r="B15" s="6" t="s">
        <v>183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Omayma El Imami Gaada</cp:lastModifiedBy>
  <cp:revision/>
  <dcterms:created xsi:type="dcterms:W3CDTF">2019-02-19T17:23:04Z</dcterms:created>
  <dcterms:modified xsi:type="dcterms:W3CDTF">2026-03-18T17:34:11Z</dcterms:modified>
  <cp:category/>
  <cp:contentStatus/>
</cp:coreProperties>
</file>